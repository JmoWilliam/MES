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MeasureReport-1.1" sheetId="1" r:id="rId1"/>
    <sheet name="SurfaceAccuracy-1" sheetId="3" r:id="rId2"/>
    <sheet name="Decenter" sheetId="4" r:id="rId3"/>
  </sheets>
  <externalReferences>
    <externalReference r:id="rId4"/>
  </externalReferences>
  <definedNames>
    <definedName name="Excel_BuiltIn__FilterDatabase_2" localSheetId="1">#REF!</definedName>
    <definedName name="Excel_BuiltIn__FilterDatabase_2">#REF!</definedName>
    <definedName name="_xlnm.Print_Area" localSheetId="1">'SurfaceAccuracy-1'!$A$1:$AR$24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4" l="1"/>
  <c r="X80" i="4"/>
  <c r="AA28" i="4" s="1"/>
  <c r="AB28" i="4" s="1"/>
  <c r="R80" i="4"/>
  <c r="L80" i="4"/>
  <c r="AA26" i="4" s="1"/>
  <c r="AB26" i="4" s="1"/>
  <c r="F80" i="4"/>
  <c r="X65" i="4"/>
  <c r="AA24" i="4" s="1"/>
  <c r="AB24" i="4" s="1"/>
  <c r="R65" i="4"/>
  <c r="AA23" i="4" s="1"/>
  <c r="AB23" i="4" s="1"/>
  <c r="L65" i="4"/>
  <c r="AA22" i="4" s="1"/>
  <c r="AB22" i="4" s="1"/>
  <c r="F65" i="4"/>
  <c r="AA21" i="4" s="1"/>
  <c r="AB21" i="4" s="1"/>
  <c r="X50" i="4"/>
  <c r="AA20" i="4" s="1"/>
  <c r="AB20" i="4" s="1"/>
  <c r="R50" i="4"/>
  <c r="AA19" i="4" s="1"/>
  <c r="AB19" i="4" s="1"/>
  <c r="L50" i="4"/>
  <c r="AA18" i="4" s="1"/>
  <c r="AB18" i="4" s="1"/>
  <c r="F50" i="4"/>
  <c r="AA17" i="4" s="1"/>
  <c r="AB17" i="4" s="1"/>
  <c r="X35" i="4"/>
  <c r="AA16" i="4" s="1"/>
  <c r="AB16" i="4" s="1"/>
  <c r="R35" i="4"/>
  <c r="AA15" i="4" s="1"/>
  <c r="AB15" i="4" s="1"/>
  <c r="L35" i="4"/>
  <c r="AA14" i="4" s="1"/>
  <c r="AB14" i="4" s="1"/>
  <c r="F35" i="4"/>
  <c r="AA13" i="4" s="1"/>
  <c r="AB13" i="4" s="1"/>
  <c r="AA27" i="4"/>
  <c r="AB27" i="4" s="1"/>
  <c r="AA25" i="4"/>
  <c r="AB25" i="4" s="1"/>
  <c r="X20" i="4"/>
  <c r="R20" i="4"/>
  <c r="L20" i="4"/>
  <c r="AA10" i="4" s="1"/>
  <c r="AB10" i="4" s="1"/>
  <c r="F20" i="4"/>
  <c r="AA9" i="4" s="1"/>
  <c r="AB9" i="4" s="1"/>
  <c r="AA12" i="4"/>
  <c r="AB12" i="4" s="1"/>
  <c r="AA11" i="4"/>
  <c r="AB11" i="4" s="1"/>
  <c r="X5" i="4"/>
  <c r="AA8" i="4" s="1"/>
  <c r="AB8" i="4" s="1"/>
  <c r="R5" i="4"/>
  <c r="AA7" i="4" s="1"/>
  <c r="AB7" i="4" s="1"/>
  <c r="L5" i="4"/>
  <c r="AA6" i="4" s="1"/>
  <c r="AB6" i="4" s="1"/>
  <c r="F5" i="4"/>
  <c r="AA5" i="4" s="1"/>
  <c r="AB5" i="4" s="1"/>
  <c r="B1" i="3" l="1"/>
  <c r="V17" i="1" l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16" i="1"/>
  <c r="V15" i="1"/>
  <c r="V14" i="1"/>
  <c r="V13" i="1"/>
  <c r="Q9" i="1" l="1"/>
</calcChain>
</file>

<file path=xl/sharedStrings.xml><?xml version="1.0" encoding="utf-8"?>
<sst xmlns="http://schemas.openxmlformats.org/spreadsheetml/2006/main" count="290" uniqueCount="96">
  <si>
    <t>量測項目</t>
  </si>
  <si>
    <t>量測值</t>
  </si>
  <si>
    <t>Z軸</t>
  </si>
  <si>
    <t>上限</t>
    <phoneticPr fontId="2" type="noConversion"/>
  </si>
  <si>
    <t>下限</t>
    <phoneticPr fontId="2" type="noConversion"/>
  </si>
  <si>
    <t>序號</t>
    <phoneticPr fontId="2" type="noConversion"/>
  </si>
  <si>
    <t>品名：</t>
    <phoneticPr fontId="2" type="noConversion"/>
  </si>
  <si>
    <t>數量：</t>
    <phoneticPr fontId="2" type="noConversion"/>
  </si>
  <si>
    <t>單位：</t>
    <phoneticPr fontId="2" type="noConversion"/>
  </si>
  <si>
    <t>檢驗項目</t>
    <phoneticPr fontId="2" type="noConversion"/>
  </si>
  <si>
    <t>規格</t>
    <phoneticPr fontId="2" type="noConversion"/>
  </si>
  <si>
    <t>單位</t>
    <phoneticPr fontId="2" type="noConversion"/>
  </si>
  <si>
    <t>判定</t>
    <phoneticPr fontId="2" type="noConversion"/>
  </si>
  <si>
    <t>pcs</t>
    <phoneticPr fontId="2" type="noConversion"/>
  </si>
  <si>
    <t>備註</t>
    <phoneticPr fontId="2" type="noConversion"/>
  </si>
  <si>
    <t>頁數：</t>
    <phoneticPr fontId="2" type="noConversion"/>
  </si>
  <si>
    <t>儀器</t>
    <phoneticPr fontId="2" type="noConversion"/>
  </si>
  <si>
    <t>確認</t>
    <phoneticPr fontId="2" type="noConversion"/>
  </si>
  <si>
    <t>球標</t>
    <phoneticPr fontId="2" type="noConversion"/>
  </si>
  <si>
    <t>產品類別：</t>
    <phoneticPr fontId="2" type="noConversion"/>
  </si>
  <si>
    <t>品 質 檢 驗 報 告 書</t>
    <phoneticPr fontId="2" type="noConversion"/>
  </si>
  <si>
    <t>pcs</t>
  </si>
  <si>
    <t>設計值</t>
    <phoneticPr fontId="2" type="noConversion"/>
  </si>
  <si>
    <t>儀器代碼</t>
    <phoneticPr fontId="2" type="noConversion"/>
  </si>
  <si>
    <t>(QV)畫像測定機  (CMM)三次元  (UA3P)超高精度 3D輪廓儀  (ZYGO)白光干涉儀  (N2.5)影像量測儀  (LM)影像尺寸測量儀  (RN)真圓度儀  (HG)高度計  (KM)測微計  (LR)雷射測距儀  (TR)偏心儀  (MS)顯微鏡  (MC)千分尺  (VC)游標卡尺  (TM)厚度計  (CA)計算  (OT)其他量具</t>
    <phoneticPr fontId="2" type="noConversion"/>
  </si>
  <si>
    <t>UA3P</t>
  </si>
  <si>
    <t>R1</t>
    <phoneticPr fontId="11" type="noConversion"/>
  </si>
  <si>
    <t>SURFACE ACCURACY
(*重點尺寸)</t>
    <phoneticPr fontId="11" type="noConversion"/>
  </si>
  <si>
    <t>R2</t>
    <phoneticPr fontId="11" type="noConversion"/>
  </si>
  <si>
    <t>UA3P</t>
    <phoneticPr fontId="11" type="noConversion"/>
  </si>
  <si>
    <t>R1</t>
    <phoneticPr fontId="11" type="noConversion"/>
  </si>
  <si>
    <t>SURFACE ACCURACY
(*重點尺寸)</t>
    <phoneticPr fontId="11" type="noConversion"/>
  </si>
  <si>
    <t>UA3P</t>
    <phoneticPr fontId="11" type="noConversion"/>
  </si>
  <si>
    <t>R2</t>
    <phoneticPr fontId="11" type="noConversion"/>
  </si>
  <si>
    <t>SURFACE ACCURACY
(*重點尺寸)</t>
    <phoneticPr fontId="11" type="noConversion"/>
  </si>
  <si>
    <t>檢測面型 / Surface Accuracy</t>
    <phoneticPr fontId="11" type="noConversion"/>
  </si>
  <si>
    <t>來源單號：</t>
    <phoneticPr fontId="2" type="noConversion"/>
  </si>
  <si>
    <t>檢查水準</t>
    <phoneticPr fontId="2" type="noConversion"/>
  </si>
  <si>
    <t>客戶料號：</t>
    <phoneticPr fontId="2" type="noConversion"/>
  </si>
  <si>
    <t>抽樣依據：</t>
  </si>
  <si>
    <t>出貨日期：</t>
    <phoneticPr fontId="2" type="noConversion"/>
  </si>
  <si>
    <t>客戶名稱：</t>
    <phoneticPr fontId="2" type="noConversion"/>
  </si>
  <si>
    <t>規格</t>
    <phoneticPr fontId="2" type="noConversion"/>
  </si>
  <si>
    <t>檢驗數</t>
    <phoneticPr fontId="2" type="noConversion"/>
  </si>
  <si>
    <t>AC</t>
    <phoneticPr fontId="2" type="noConversion"/>
  </si>
  <si>
    <t>RE</t>
    <phoneticPr fontId="2" type="noConversion"/>
  </si>
  <si>
    <t>判定</t>
    <phoneticPr fontId="2" type="noConversion"/>
  </si>
  <si>
    <t>特採單號：</t>
    <phoneticPr fontId="2" type="noConversion"/>
  </si>
  <si>
    <t>綜合判定</t>
    <phoneticPr fontId="2" type="noConversion"/>
  </si>
  <si>
    <t>備註</t>
    <phoneticPr fontId="2" type="noConversion"/>
  </si>
  <si>
    <t>ok</t>
    <phoneticPr fontId="2" type="noConversion"/>
  </si>
  <si>
    <t>檢驗</t>
    <phoneticPr fontId="2" type="noConversion"/>
  </si>
  <si>
    <t xml:space="preserve">Decenter Out Put           </t>
  </si>
  <si>
    <t>Decenter Out Put</t>
  </si>
  <si>
    <t>NO.</t>
  </si>
  <si>
    <t>面別</t>
    <phoneticPr fontId="23" type="noConversion"/>
  </si>
  <si>
    <t>Dev X</t>
  </si>
  <si>
    <t>Dev Y</t>
  </si>
  <si>
    <t>ABSOLUTE</t>
    <phoneticPr fontId="23" type="noConversion"/>
  </si>
  <si>
    <t>Decenter</t>
  </si>
  <si>
    <t>面别</t>
    <phoneticPr fontId="23" type="noConversion"/>
  </si>
  <si>
    <t>Dev X</t>
    <phoneticPr fontId="23" type="noConversion"/>
  </si>
  <si>
    <t>1#</t>
    <phoneticPr fontId="23" type="noConversion"/>
  </si>
  <si>
    <t>R1</t>
  </si>
  <si>
    <t>2#</t>
    <phoneticPr fontId="23" type="noConversion"/>
  </si>
  <si>
    <t>3#</t>
    <phoneticPr fontId="23" type="noConversion"/>
  </si>
  <si>
    <t>4#</t>
    <phoneticPr fontId="23" type="noConversion"/>
  </si>
  <si>
    <t>R2</t>
  </si>
  <si>
    <t>[μm]</t>
  </si>
  <si>
    <t>Decenter Out Put</t>
    <phoneticPr fontId="23" type="noConversion"/>
  </si>
  <si>
    <t>5#</t>
    <phoneticPr fontId="23" type="noConversion"/>
  </si>
  <si>
    <t>6#</t>
    <phoneticPr fontId="23" type="noConversion"/>
  </si>
  <si>
    <t>7#</t>
    <phoneticPr fontId="23" type="noConversion"/>
  </si>
  <si>
    <t>8#</t>
    <phoneticPr fontId="23" type="noConversion"/>
  </si>
  <si>
    <t xml:space="preserve">Decenter Out Put           </t>
    <phoneticPr fontId="23" type="noConversion"/>
  </si>
  <si>
    <t>9#</t>
    <phoneticPr fontId="23" type="noConversion"/>
  </si>
  <si>
    <t>10#</t>
    <phoneticPr fontId="23" type="noConversion"/>
  </si>
  <si>
    <t>11#</t>
    <phoneticPr fontId="23" type="noConversion"/>
  </si>
  <si>
    <t>12#</t>
    <phoneticPr fontId="23" type="noConversion"/>
  </si>
  <si>
    <t>13#</t>
    <phoneticPr fontId="23" type="noConversion"/>
  </si>
  <si>
    <t>14#</t>
    <phoneticPr fontId="23" type="noConversion"/>
  </si>
  <si>
    <t>15#</t>
    <phoneticPr fontId="23" type="noConversion"/>
  </si>
  <si>
    <t>16#</t>
    <phoneticPr fontId="23" type="noConversion"/>
  </si>
  <si>
    <t>17#</t>
    <phoneticPr fontId="23" type="noConversion"/>
  </si>
  <si>
    <t>18#</t>
    <phoneticPr fontId="23" type="noConversion"/>
  </si>
  <si>
    <t>19#</t>
    <phoneticPr fontId="23" type="noConversion"/>
  </si>
  <si>
    <t>20#</t>
    <phoneticPr fontId="23" type="noConversion"/>
  </si>
  <si>
    <t>21#</t>
    <phoneticPr fontId="23" type="noConversion"/>
  </si>
  <si>
    <t>22#</t>
    <phoneticPr fontId="23" type="noConversion"/>
  </si>
  <si>
    <t>23#</t>
    <phoneticPr fontId="23" type="noConversion"/>
  </si>
  <si>
    <t>24#</t>
    <phoneticPr fontId="23" type="noConversion"/>
  </si>
  <si>
    <t>治具規格</t>
    <phoneticPr fontId="23" type="noConversion"/>
  </si>
  <si>
    <t>承靠面</t>
    <phoneticPr fontId="23" type="noConversion"/>
  </si>
  <si>
    <t>測量鏡頭</t>
    <phoneticPr fontId="23" type="noConversion"/>
  </si>
  <si>
    <t>Mic10XLWD</t>
  </si>
  <si>
    <t>偏芯 / Decenter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</si>
</sst>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m/d;@"/>
    <numFmt numFmtId="177" formatCode="0.0000"/>
    <numFmt numFmtId="178" formatCode="0.000"/>
    <numFmt numFmtId="179" formatCode="0.0"/>
    <numFmt numFmtId="180" formatCode="0.000_ "/>
  </numFmts>
  <fonts count="34">
    <font>
      <sz val="11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20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14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2"/>
      <name val="宋体"/>
      <charset val="134"/>
    </font>
    <font>
      <b/>
      <sz val="36"/>
      <name val="微軟正黑體"/>
      <family val="2"/>
      <charset val="136"/>
    </font>
    <font>
      <sz val="9"/>
      <name val="細明體"/>
      <family val="3"/>
      <charset val="136"/>
    </font>
    <font>
      <sz val="12"/>
      <name val="微軟正黑體"/>
      <family val="2"/>
      <charset val="136"/>
    </font>
    <font>
      <sz val="28"/>
      <name val="微軟正黑體"/>
      <family val="2"/>
      <charset val="136"/>
    </font>
    <font>
      <sz val="14"/>
      <name val="微軟正黑體"/>
      <family val="2"/>
      <charset val="136"/>
    </font>
    <font>
      <sz val="28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0"/>
      <color theme="1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1"/>
      <name val="ＭＳ Ｐゴシック"/>
      <family val="2"/>
    </font>
    <font>
      <b/>
      <sz val="28"/>
      <name val="微軟正黑體"/>
      <family val="2"/>
      <charset val="136"/>
    </font>
    <font>
      <sz val="9"/>
      <name val="新細明體"/>
      <family val="1"/>
      <charset val="136"/>
      <scheme val="minor"/>
    </font>
    <font>
      <sz val="10"/>
      <name val="微軟正黑體"/>
      <family val="2"/>
      <charset val="136"/>
    </font>
    <font>
      <sz val="6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0"/>
      <color indexed="61"/>
      <name val="微軟正黑體"/>
      <family val="2"/>
      <charset val="136"/>
    </font>
    <font>
      <sz val="16"/>
      <name val="微軟正黑體"/>
      <family val="2"/>
      <charset val="136"/>
    </font>
    <font>
      <b/>
      <sz val="16"/>
      <color indexed="61"/>
      <name val="微軟正黑體"/>
      <family val="2"/>
      <charset val="136"/>
    </font>
    <font>
      <sz val="24"/>
      <name val="微軟正黑體"/>
      <family val="2"/>
      <charset val="136"/>
    </font>
    <font>
      <sz val="26"/>
      <name val="微軟正黑體"/>
      <family val="2"/>
      <charset val="136"/>
    </font>
    <font>
      <sz val="9"/>
      <name val="微軟正黑體"/>
      <family val="2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21" fillId="0" borderId="0"/>
  </cellStyleXfs>
  <cellXfs count="19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0" borderId="14" xfId="0" applyBorder="1"/>
    <xf numFmtId="0" fontId="0" fillId="0" borderId="22" xfId="0" applyBorder="1"/>
    <xf numFmtId="0" fontId="7" fillId="0" borderId="0" xfId="0" applyFont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2" fillId="0" borderId="0" xfId="1" applyFont="1">
      <alignment vertical="center"/>
    </xf>
    <xf numFmtId="0" fontId="10" fillId="0" borderId="0" xfId="1" applyFont="1" applyBorder="1" applyAlignment="1">
      <alignment horizontal="center" vertical="center" wrapText="1"/>
    </xf>
    <xf numFmtId="14" fontId="12" fillId="0" borderId="0" xfId="1" applyNumberFormat="1" applyFont="1">
      <alignment vertical="center"/>
    </xf>
    <xf numFmtId="0" fontId="12" fillId="0" borderId="0" xfId="2" applyFont="1">
      <alignment vertical="center"/>
    </xf>
    <xf numFmtId="0" fontId="8" fillId="0" borderId="1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47" xfId="0" applyFont="1" applyBorder="1" applyAlignment="1">
      <alignment vertical="center"/>
    </xf>
    <xf numFmtId="0" fontId="8" fillId="0" borderId="4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77" fontId="19" fillId="0" borderId="1" xfId="0" applyNumberFormat="1" applyFont="1" applyBorder="1" applyAlignment="1">
      <alignment horizontal="center" vertical="center"/>
    </xf>
    <xf numFmtId="177" fontId="19" fillId="0" borderId="15" xfId="0" applyNumberFormat="1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9" fontId="8" fillId="0" borderId="29" xfId="0" applyNumberFormat="1" applyFont="1" applyBorder="1" applyAlignment="1">
      <alignment horizontal="center" vertical="center"/>
    </xf>
    <xf numFmtId="49" fontId="8" fillId="0" borderId="28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43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center"/>
    </xf>
    <xf numFmtId="0" fontId="10" fillId="0" borderId="0" xfId="1" applyFont="1" applyBorder="1" applyAlignment="1">
      <alignment horizontal="right" vertical="center" wrapText="1"/>
    </xf>
    <xf numFmtId="0" fontId="10" fillId="0" borderId="0" xfId="1" applyFont="1" applyBorder="1" applyAlignment="1">
      <alignment horizontal="left" vertical="center" wrapText="1"/>
    </xf>
    <xf numFmtId="0" fontId="13" fillId="0" borderId="30" xfId="2" quotePrefix="1" applyFont="1" applyBorder="1" applyAlignment="1">
      <alignment horizontal="center" vertical="center" wrapText="1"/>
    </xf>
    <xf numFmtId="0" fontId="13" fillId="0" borderId="33" xfId="2" quotePrefix="1" applyFont="1" applyBorder="1" applyAlignment="1">
      <alignment horizontal="center" vertical="center" wrapText="1"/>
    </xf>
    <xf numFmtId="0" fontId="13" fillId="0" borderId="38" xfId="2" quotePrefix="1" applyFont="1" applyBorder="1" applyAlignment="1">
      <alignment horizontal="center" vertical="center" wrapText="1"/>
    </xf>
    <xf numFmtId="0" fontId="14" fillId="0" borderId="31" xfId="2" quotePrefix="1" applyFont="1" applyBorder="1" applyAlignment="1">
      <alignment horizontal="center" vertical="center" wrapText="1"/>
    </xf>
    <xf numFmtId="0" fontId="14" fillId="0" borderId="34" xfId="2" quotePrefix="1" applyFont="1" applyBorder="1" applyAlignment="1">
      <alignment horizontal="center" vertical="center" wrapText="1"/>
    </xf>
    <xf numFmtId="0" fontId="14" fillId="0" borderId="39" xfId="2" quotePrefix="1" applyFont="1" applyBorder="1" applyAlignment="1">
      <alignment horizontal="center" vertical="center" wrapText="1"/>
    </xf>
    <xf numFmtId="0" fontId="12" fillId="0" borderId="32" xfId="3" applyFont="1" applyBorder="1" applyAlignment="1">
      <alignment horizontal="center" vertical="center"/>
    </xf>
    <xf numFmtId="0" fontId="12" fillId="0" borderId="35" xfId="3" applyFont="1" applyBorder="1" applyAlignment="1">
      <alignment horizontal="center" vertical="center"/>
    </xf>
    <xf numFmtId="0" fontId="12" fillId="0" borderId="36" xfId="3" applyFont="1" applyBorder="1" applyAlignment="1">
      <alignment horizontal="center" vertical="center"/>
    </xf>
    <xf numFmtId="176" fontId="14" fillId="0" borderId="19" xfId="2" applyNumberFormat="1" applyFont="1" applyFill="1" applyBorder="1" applyAlignment="1">
      <alignment horizontal="center" vertical="center" wrapText="1"/>
    </xf>
    <xf numFmtId="176" fontId="14" fillId="0" borderId="31" xfId="2" applyNumberFormat="1" applyFont="1" applyFill="1" applyBorder="1" applyAlignment="1">
      <alignment horizontal="center" vertical="center" wrapText="1"/>
    </xf>
    <xf numFmtId="176" fontId="14" fillId="0" borderId="37" xfId="2" applyNumberFormat="1" applyFont="1" applyFill="1" applyBorder="1" applyAlignment="1">
      <alignment horizontal="center" vertical="center" wrapText="1"/>
    </xf>
    <xf numFmtId="176" fontId="14" fillId="0" borderId="39" xfId="2" applyNumberFormat="1" applyFont="1" applyFill="1" applyBorder="1" applyAlignment="1">
      <alignment horizontal="center" vertical="center" wrapText="1"/>
    </xf>
    <xf numFmtId="0" fontId="14" fillId="0" borderId="19" xfId="2" applyFont="1" applyFill="1" applyBorder="1" applyAlignment="1">
      <alignment horizontal="center" vertical="center" wrapText="1"/>
    </xf>
    <xf numFmtId="0" fontId="14" fillId="0" borderId="31" xfId="2" applyFont="1" applyFill="1" applyBorder="1" applyAlignment="1">
      <alignment horizontal="center" vertical="center" wrapText="1"/>
    </xf>
    <xf numFmtId="0" fontId="14" fillId="0" borderId="37" xfId="2" applyFont="1" applyFill="1" applyBorder="1" applyAlignment="1">
      <alignment horizontal="center" vertical="center" wrapText="1"/>
    </xf>
    <xf numFmtId="0" fontId="14" fillId="0" borderId="39" xfId="2" applyFont="1" applyFill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3" fillId="0" borderId="40" xfId="2" quotePrefix="1" applyFont="1" applyBorder="1" applyAlignment="1">
      <alignment horizontal="center" vertical="center" wrapText="1"/>
    </xf>
    <xf numFmtId="0" fontId="13" fillId="0" borderId="43" xfId="2" quotePrefix="1" applyFont="1" applyBorder="1" applyAlignment="1">
      <alignment horizontal="center" vertical="center" wrapText="1"/>
    </xf>
    <xf numFmtId="0" fontId="14" fillId="0" borderId="41" xfId="2" quotePrefix="1" applyFont="1" applyBorder="1" applyAlignment="1">
      <alignment horizontal="center" vertical="center" wrapText="1"/>
    </xf>
    <xf numFmtId="0" fontId="14" fillId="0" borderId="44" xfId="2" quotePrefix="1" applyFont="1" applyBorder="1" applyAlignment="1">
      <alignment horizontal="center" vertical="center" wrapText="1"/>
    </xf>
    <xf numFmtId="0" fontId="12" fillId="0" borderId="42" xfId="3" applyFont="1" applyBorder="1" applyAlignment="1">
      <alignment horizontal="center" vertical="center"/>
    </xf>
    <xf numFmtId="0" fontId="12" fillId="0" borderId="15" xfId="3" applyFont="1" applyBorder="1" applyAlignment="1">
      <alignment horizontal="center" vertical="center"/>
    </xf>
    <xf numFmtId="176" fontId="14" fillId="0" borderId="4" xfId="2" applyNumberFormat="1" applyFont="1" applyFill="1" applyBorder="1" applyAlignment="1">
      <alignment horizontal="center" vertical="center" wrapText="1"/>
    </xf>
    <xf numFmtId="176" fontId="14" fillId="0" borderId="34" xfId="2" applyNumberFormat="1" applyFont="1" applyFill="1" applyBorder="1" applyAlignment="1">
      <alignment horizontal="center" vertical="center" wrapText="1"/>
    </xf>
    <xf numFmtId="0" fontId="14" fillId="0" borderId="4" xfId="2" applyFont="1" applyFill="1" applyBorder="1" applyAlignment="1">
      <alignment horizontal="center" vertical="center" wrapText="1"/>
    </xf>
    <xf numFmtId="0" fontId="14" fillId="0" borderId="34" xfId="2" applyFont="1" applyFill="1" applyBorder="1" applyAlignment="1">
      <alignment horizontal="center" vertical="center" wrapText="1"/>
    </xf>
    <xf numFmtId="0" fontId="12" fillId="0" borderId="15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/>
    </xf>
    <xf numFmtId="0" fontId="12" fillId="0" borderId="16" xfId="2" applyFont="1" applyBorder="1" applyAlignment="1">
      <alignment horizontal="center" vertical="center"/>
    </xf>
    <xf numFmtId="0" fontId="16" fillId="0" borderId="0" xfId="4">
      <alignment vertical="center"/>
    </xf>
    <xf numFmtId="0" fontId="10" fillId="0" borderId="0" xfId="6" applyFont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50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24" fillId="0" borderId="1" xfId="6" applyFont="1" applyBorder="1" applyAlignment="1">
      <alignment horizontal="center" vertical="center"/>
    </xf>
    <xf numFmtId="49" fontId="24" fillId="0" borderId="1" xfId="6" applyNumberFormat="1" applyFont="1" applyBorder="1" applyAlignment="1">
      <alignment horizontal="center" vertical="center"/>
    </xf>
    <xf numFmtId="49" fontId="25" fillId="0" borderId="1" xfId="6" applyNumberFormat="1" applyFont="1" applyBorder="1" applyAlignment="1">
      <alignment horizontal="center" vertical="center"/>
    </xf>
    <xf numFmtId="0" fontId="25" fillId="0" borderId="1" xfId="6" applyFont="1" applyBorder="1" applyAlignment="1">
      <alignment horizontal="center" vertical="center"/>
    </xf>
    <xf numFmtId="0" fontId="26" fillId="0" borderId="42" xfId="6" applyFont="1" applyBorder="1" applyAlignment="1">
      <alignment horizontal="center" vertical="center"/>
    </xf>
    <xf numFmtId="178" fontId="24" fillId="0" borderId="1" xfId="5" applyNumberFormat="1" applyFont="1" applyFill="1" applyBorder="1" applyAlignment="1">
      <alignment horizontal="center" vertical="center"/>
    </xf>
    <xf numFmtId="178" fontId="24" fillId="0" borderId="1" xfId="6" applyNumberFormat="1" applyFont="1" applyBorder="1" applyAlignment="1">
      <alignment horizontal="center" vertical="center" wrapText="1"/>
    </xf>
    <xf numFmtId="179" fontId="27" fillId="0" borderId="42" xfId="6" applyNumberFormat="1" applyFont="1" applyBorder="1" applyAlignment="1">
      <alignment horizontal="center" vertical="center"/>
    </xf>
    <xf numFmtId="178" fontId="24" fillId="0" borderId="1" xfId="6" applyNumberFormat="1" applyFont="1" applyBorder="1" applyAlignment="1">
      <alignment horizontal="center" vertical="center"/>
    </xf>
    <xf numFmtId="180" fontId="24" fillId="0" borderId="1" xfId="6" applyNumberFormat="1" applyFont="1" applyBorder="1" applyAlignment="1">
      <alignment horizontal="center" vertical="center" wrapText="1"/>
    </xf>
    <xf numFmtId="179" fontId="24" fillId="0" borderId="0" xfId="6" applyNumberFormat="1" applyFont="1" applyAlignment="1">
      <alignment horizontal="center" vertical="center"/>
    </xf>
    <xf numFmtId="0" fontId="26" fillId="0" borderId="36" xfId="6" applyFont="1" applyBorder="1" applyAlignment="1">
      <alignment horizontal="center" vertical="center"/>
    </xf>
    <xf numFmtId="179" fontId="27" fillId="0" borderId="36" xfId="6" applyNumberFormat="1" applyFont="1" applyBorder="1" applyAlignment="1">
      <alignment horizontal="center" vertical="center"/>
    </xf>
    <xf numFmtId="0" fontId="28" fillId="0" borderId="4" xfId="6" applyFont="1" applyBorder="1" applyAlignment="1">
      <alignment horizontal="center"/>
    </xf>
    <xf numFmtId="0" fontId="28" fillId="0" borderId="0" xfId="6" applyFont="1" applyBorder="1" applyAlignment="1">
      <alignment wrapText="1"/>
    </xf>
    <xf numFmtId="179" fontId="29" fillId="0" borderId="0" xfId="6" applyNumberFormat="1" applyFont="1" applyBorder="1" applyAlignment="1">
      <alignment vertical="center"/>
    </xf>
    <xf numFmtId="0" fontId="28" fillId="0" borderId="0" xfId="6" applyFont="1" applyBorder="1"/>
    <xf numFmtId="0" fontId="28" fillId="0" borderId="34" xfId="6" applyFont="1" applyBorder="1"/>
    <xf numFmtId="0" fontId="28" fillId="0" borderId="4" xfId="6" applyFont="1" applyBorder="1"/>
    <xf numFmtId="0" fontId="28" fillId="0" borderId="0" xfId="6" applyFont="1" applyBorder="1" applyAlignment="1">
      <alignment horizontal="right"/>
    </xf>
    <xf numFmtId="0" fontId="28" fillId="0" borderId="0" xfId="6" applyFont="1" applyBorder="1" applyAlignment="1"/>
    <xf numFmtId="0" fontId="24" fillId="0" borderId="0" xfId="6" applyFont="1" applyAlignment="1">
      <alignment horizontal="center" vertical="center"/>
    </xf>
    <xf numFmtId="0" fontId="28" fillId="0" borderId="51" xfId="6" applyFont="1" applyBorder="1"/>
    <xf numFmtId="0" fontId="28" fillId="0" borderId="39" xfId="6" applyFont="1" applyBorder="1"/>
    <xf numFmtId="0" fontId="12" fillId="0" borderId="37" xfId="5" applyFont="1" applyFill="1" applyBorder="1" applyAlignment="1">
      <alignment horizontal="center" vertical="center"/>
    </xf>
    <xf numFmtId="0" fontId="12" fillId="0" borderId="51" xfId="5" applyFont="1" applyFill="1" applyBorder="1" applyAlignment="1">
      <alignment horizontal="center" vertical="center"/>
    </xf>
    <xf numFmtId="0" fontId="12" fillId="0" borderId="2" xfId="5" applyFont="1" applyFill="1" applyBorder="1" applyAlignment="1">
      <alignment horizontal="center" vertical="center"/>
    </xf>
    <xf numFmtId="0" fontId="12" fillId="0" borderId="50" xfId="5" applyFont="1" applyFill="1" applyBorder="1" applyAlignment="1">
      <alignment horizontal="center" vertical="center"/>
    </xf>
    <xf numFmtId="0" fontId="12" fillId="0" borderId="3" xfId="5" applyFont="1" applyFill="1" applyBorder="1" applyAlignment="1">
      <alignment horizontal="center" vertical="center"/>
    </xf>
    <xf numFmtId="0" fontId="12" fillId="0" borderId="0" xfId="6" applyFont="1"/>
    <xf numFmtId="0" fontId="30" fillId="0" borderId="2" xfId="6" applyFont="1" applyBorder="1" applyAlignment="1">
      <alignment horizontal="center"/>
    </xf>
    <xf numFmtId="0" fontId="30" fillId="0" borderId="50" xfId="6" applyFont="1" applyBorder="1" applyAlignment="1">
      <alignment horizontal="center"/>
    </xf>
    <xf numFmtId="0" fontId="30" fillId="0" borderId="3" xfId="6" applyFont="1" applyBorder="1" applyAlignment="1">
      <alignment horizontal="center"/>
    </xf>
    <xf numFmtId="0" fontId="31" fillId="0" borderId="2" xfId="5" applyFont="1" applyFill="1" applyBorder="1" applyAlignment="1">
      <alignment horizontal="center" vertical="center"/>
    </xf>
    <xf numFmtId="0" fontId="31" fillId="0" borderId="50" xfId="5" applyFont="1" applyFill="1" applyBorder="1" applyAlignment="1">
      <alignment horizontal="center" vertical="center"/>
    </xf>
    <xf numFmtId="0" fontId="31" fillId="0" borderId="3" xfId="5" applyFont="1" applyFill="1" applyBorder="1" applyAlignment="1">
      <alignment horizontal="center" vertical="center"/>
    </xf>
    <xf numFmtId="0" fontId="30" fillId="0" borderId="2" xfId="5" applyFont="1" applyFill="1" applyBorder="1" applyAlignment="1">
      <alignment horizontal="center" vertical="center"/>
    </xf>
    <xf numFmtId="0" fontId="14" fillId="0" borderId="0" xfId="6" applyFont="1"/>
    <xf numFmtId="0" fontId="32" fillId="0" borderId="0" xfId="6" applyFont="1"/>
    <xf numFmtId="0" fontId="33" fillId="0" borderId="0" xfId="6" applyFont="1"/>
    <xf numFmtId="0" fontId="22" fillId="0" borderId="0" xfId="6" applyFont="1" applyAlignment="1">
      <alignment horizontal="right" vertical="center"/>
    </xf>
    <xf numFmtId="0" fontId="22" fillId="0" borderId="0" xfId="6" applyFont="1" applyAlignment="1">
      <alignment horizontal="left" vertical="center"/>
    </xf>
  </cellXfs>
  <cellStyles count="7">
    <cellStyle name="常规 2" xfId="6"/>
    <cellStyle name="一般" xfId="0" builtinId="0"/>
    <cellStyle name="一般 2" xfId="4"/>
    <cellStyle name="一般 2 2 3 2" xfId="1"/>
    <cellStyle name="一般 3" xfId="5"/>
    <cellStyle name="一般 4 3 2" xfId="3"/>
    <cellStyle name="一般 5 2 2" xfId="2"/>
  </cellStyles>
  <dxfs count="22"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 val="0"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Decenter!$B$5</c:f>
              <c:strCache>
                <c:ptCount val="1"/>
                <c:pt idx="0">
                  <c:v>R1</c:v>
                </c:pt>
              </c:strCache>
            </c:strRef>
          </c:tx>
          <c:spPr>
            <a:ln w="66675">
              <a:solidFill>
                <a:schemeClr val="accent1"/>
              </a:solidFill>
            </a:ln>
            <a:effectLst/>
          </c:spPr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Decenter!$C$5</c:f>
              <c:numCache>
                <c:formatCode>0.000</c:formatCode>
                <c:ptCount val="1"/>
              </c:numCache>
            </c:numRef>
          </c:xVal>
          <c:yVal>
            <c:numRef>
              <c:f>Decenter!$D$5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CA-4514-AC20-29468E13EEBD}"/>
            </c:ext>
          </c:extLst>
        </c:ser>
        <c:ser>
          <c:idx val="1"/>
          <c:order val="1"/>
          <c:tx>
            <c:strRef>
              <c:f>Decenter!$B$6</c:f>
              <c:strCache>
                <c:ptCount val="1"/>
                <c:pt idx="0">
                  <c:v>R2</c:v>
                </c:pt>
              </c:strCache>
            </c:strRef>
          </c:tx>
          <c:spPr>
            <a:ln w="66675">
              <a:solidFill>
                <a:schemeClr val="accent2"/>
              </a:solidFill>
            </a:ln>
            <a:effectLst/>
          </c:spPr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Decenter!$C$6</c:f>
              <c:numCache>
                <c:formatCode>0.000</c:formatCode>
                <c:ptCount val="1"/>
              </c:numCache>
            </c:numRef>
          </c:xVal>
          <c:yVal>
            <c:numRef>
              <c:f>Decenter!$D$6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CA-4514-AC20-29468E13E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Decenter!$H$5</c:f>
              <c:strCache>
                <c:ptCount val="1"/>
                <c:pt idx="0">
                  <c:v>R1</c:v>
                </c:pt>
              </c:strCache>
            </c:strRef>
          </c:tx>
          <c:spPr>
            <a:ln w="66675">
              <a:solidFill>
                <a:schemeClr val="accent1"/>
              </a:solidFill>
            </a:ln>
            <a:effectLst/>
          </c:spPr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Decenter!$I$5</c:f>
              <c:numCache>
                <c:formatCode>0.000</c:formatCode>
                <c:ptCount val="1"/>
              </c:numCache>
            </c:numRef>
          </c:xVal>
          <c:yVal>
            <c:numRef>
              <c:f>Decenter!$J$5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41-4E3E-A1A1-3D694DB9AA11}"/>
            </c:ext>
          </c:extLst>
        </c:ser>
        <c:ser>
          <c:idx val="1"/>
          <c:order val="1"/>
          <c:tx>
            <c:strRef>
              <c:f>Decenter!$H$6</c:f>
              <c:strCache>
                <c:ptCount val="1"/>
                <c:pt idx="0">
                  <c:v>R2</c:v>
                </c:pt>
              </c:strCache>
            </c:strRef>
          </c:tx>
          <c:spPr>
            <a:ln w="66675">
              <a:solidFill>
                <a:schemeClr val="accent2"/>
              </a:solidFill>
            </a:ln>
            <a:effectLst/>
          </c:spPr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Decenter!$I$6</c:f>
              <c:numCache>
                <c:formatCode>0.000</c:formatCode>
                <c:ptCount val="1"/>
              </c:numCache>
            </c:numRef>
          </c:xVal>
          <c:yVal>
            <c:numRef>
              <c:f>Decenter!$J$6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41-4E3E-A1A1-3D694DB9A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Decenter!$N$5</c:f>
              <c:strCache>
                <c:ptCount val="1"/>
                <c:pt idx="0">
                  <c:v>R1</c:v>
                </c:pt>
              </c:strCache>
            </c:strRef>
          </c:tx>
          <c:spPr>
            <a:ln w="66675">
              <a:solidFill>
                <a:schemeClr val="accent1"/>
              </a:solidFill>
            </a:ln>
            <a:effectLst/>
          </c:spPr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Decenter!$O$5</c:f>
              <c:numCache>
                <c:formatCode>0.000</c:formatCode>
                <c:ptCount val="1"/>
              </c:numCache>
            </c:numRef>
          </c:xVal>
          <c:yVal>
            <c:numRef>
              <c:f>Decenter!$P$5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C0-4248-949B-23146D41AC6C}"/>
            </c:ext>
          </c:extLst>
        </c:ser>
        <c:ser>
          <c:idx val="1"/>
          <c:order val="1"/>
          <c:tx>
            <c:strRef>
              <c:f>Decenter!$N$6</c:f>
              <c:strCache>
                <c:ptCount val="1"/>
                <c:pt idx="0">
                  <c:v>R2</c:v>
                </c:pt>
              </c:strCache>
            </c:strRef>
          </c:tx>
          <c:spPr>
            <a:ln w="66675">
              <a:solidFill>
                <a:schemeClr val="accent2"/>
              </a:solidFill>
            </a:ln>
            <a:effectLst/>
          </c:spPr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Decenter!$O$6</c:f>
              <c:numCache>
                <c:formatCode>0.000</c:formatCode>
                <c:ptCount val="1"/>
              </c:numCache>
            </c:numRef>
          </c:xVal>
          <c:yVal>
            <c:numRef>
              <c:f>Decenter!$P$6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C0-4248-949B-23146D41A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Decenter!$T$5</c:f>
              <c:strCache>
                <c:ptCount val="1"/>
                <c:pt idx="0">
                  <c:v>R1</c:v>
                </c:pt>
              </c:strCache>
            </c:strRef>
          </c:tx>
          <c:spPr>
            <a:ln w="66675">
              <a:solidFill>
                <a:schemeClr val="accent1"/>
              </a:solidFill>
            </a:ln>
            <a:effectLst/>
          </c:spPr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Decenter!$U$5</c:f>
              <c:numCache>
                <c:formatCode>0.000_ </c:formatCode>
                <c:ptCount val="1"/>
              </c:numCache>
            </c:numRef>
          </c:xVal>
          <c:yVal>
            <c:numRef>
              <c:f>Decenter!$V$5</c:f>
              <c:numCache>
                <c:formatCode>0.000_ 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24-448C-948A-FB25F317873E}"/>
            </c:ext>
          </c:extLst>
        </c:ser>
        <c:ser>
          <c:idx val="1"/>
          <c:order val="1"/>
          <c:tx>
            <c:strRef>
              <c:f>Decenter!$T$6</c:f>
              <c:strCache>
                <c:ptCount val="1"/>
                <c:pt idx="0">
                  <c:v>R2</c:v>
                </c:pt>
              </c:strCache>
            </c:strRef>
          </c:tx>
          <c:spPr>
            <a:ln w="66675">
              <a:solidFill>
                <a:schemeClr val="accent2"/>
              </a:solidFill>
            </a:ln>
            <a:effectLst/>
          </c:spPr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Decenter!$U$6</c:f>
              <c:numCache>
                <c:formatCode>0.000_ </c:formatCode>
                <c:ptCount val="1"/>
              </c:numCache>
            </c:numRef>
          </c:xVal>
          <c:yVal>
            <c:numRef>
              <c:f>Decenter!$V$6</c:f>
              <c:numCache>
                <c:formatCode>0.000_ 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24-448C-948A-FB25F3178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_ 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Decenter!$B$20</c:f>
              <c:strCache>
                <c:ptCount val="1"/>
                <c:pt idx="0">
                  <c:v>R1</c:v>
                </c:pt>
              </c:strCache>
            </c:strRef>
          </c:tx>
          <c:spPr>
            <a:ln w="66675">
              <a:solidFill>
                <a:schemeClr val="accent1"/>
              </a:solidFill>
            </a:ln>
            <a:effectLst/>
          </c:spPr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Decenter!$C$20</c:f>
              <c:numCache>
                <c:formatCode>0.000</c:formatCode>
                <c:ptCount val="1"/>
              </c:numCache>
            </c:numRef>
          </c:xVal>
          <c:yVal>
            <c:numRef>
              <c:f>Decenter!$D$20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6D-48F7-9928-D0078D663F2D}"/>
            </c:ext>
          </c:extLst>
        </c:ser>
        <c:ser>
          <c:idx val="1"/>
          <c:order val="1"/>
          <c:tx>
            <c:strRef>
              <c:f>Decenter!$B$21</c:f>
              <c:strCache>
                <c:ptCount val="1"/>
                <c:pt idx="0">
                  <c:v>R2</c:v>
                </c:pt>
              </c:strCache>
            </c:strRef>
          </c:tx>
          <c:spPr>
            <a:ln w="66675">
              <a:solidFill>
                <a:schemeClr val="accent2"/>
              </a:solidFill>
            </a:ln>
            <a:effectLst/>
          </c:spPr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Decenter!$C$21</c:f>
              <c:numCache>
                <c:formatCode>0.000</c:formatCode>
                <c:ptCount val="1"/>
              </c:numCache>
            </c:numRef>
          </c:xVal>
          <c:yVal>
            <c:numRef>
              <c:f>Decenter!$D$21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6D-48F7-9928-D0078D663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Decenter!$H$20</c:f>
              <c:strCache>
                <c:ptCount val="1"/>
                <c:pt idx="0">
                  <c:v>R1</c:v>
                </c:pt>
              </c:strCache>
            </c:strRef>
          </c:tx>
          <c:spPr>
            <a:ln w="66675">
              <a:solidFill>
                <a:schemeClr val="accent1"/>
              </a:solidFill>
            </a:ln>
            <a:effectLst/>
          </c:spPr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Decenter!$I$20</c:f>
              <c:numCache>
                <c:formatCode>0.000</c:formatCode>
                <c:ptCount val="1"/>
              </c:numCache>
            </c:numRef>
          </c:xVal>
          <c:yVal>
            <c:numRef>
              <c:f>Decenter!$J$20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68-4DAF-89FD-5E0CCF36F741}"/>
            </c:ext>
          </c:extLst>
        </c:ser>
        <c:ser>
          <c:idx val="1"/>
          <c:order val="1"/>
          <c:tx>
            <c:strRef>
              <c:f>Decenter!$H$21</c:f>
              <c:strCache>
                <c:ptCount val="1"/>
                <c:pt idx="0">
                  <c:v>R2</c:v>
                </c:pt>
              </c:strCache>
            </c:strRef>
          </c:tx>
          <c:spPr>
            <a:ln w="66675">
              <a:solidFill>
                <a:schemeClr val="accent2"/>
              </a:solidFill>
            </a:ln>
            <a:effectLst/>
          </c:spPr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Decenter!$I$21</c:f>
              <c:numCache>
                <c:formatCode>0.000</c:formatCode>
                <c:ptCount val="1"/>
              </c:numCache>
            </c:numRef>
          </c:xVal>
          <c:yVal>
            <c:numRef>
              <c:f>Decenter!$J$21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68-4DAF-89FD-5E0CCF36F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Decenter!$N$20</c:f>
              <c:strCache>
                <c:ptCount val="1"/>
                <c:pt idx="0">
                  <c:v>R1</c:v>
                </c:pt>
              </c:strCache>
            </c:strRef>
          </c:tx>
          <c:spPr>
            <a:ln w="66675">
              <a:solidFill>
                <a:schemeClr val="accent1"/>
              </a:solidFill>
            </a:ln>
            <a:effectLst/>
          </c:spPr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Decenter!$O$20</c:f>
              <c:numCache>
                <c:formatCode>0.000</c:formatCode>
                <c:ptCount val="1"/>
              </c:numCache>
            </c:numRef>
          </c:xVal>
          <c:yVal>
            <c:numRef>
              <c:f>Decenter!$P$20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A3-4B94-A8C4-CEF67E1F42DE}"/>
            </c:ext>
          </c:extLst>
        </c:ser>
        <c:ser>
          <c:idx val="1"/>
          <c:order val="1"/>
          <c:tx>
            <c:strRef>
              <c:f>Decenter!$N$21</c:f>
              <c:strCache>
                <c:ptCount val="1"/>
                <c:pt idx="0">
                  <c:v>R2</c:v>
                </c:pt>
              </c:strCache>
            </c:strRef>
          </c:tx>
          <c:spPr>
            <a:ln w="66675">
              <a:solidFill>
                <a:schemeClr val="accent2"/>
              </a:solidFill>
            </a:ln>
            <a:effectLst/>
          </c:spPr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Decenter!$O$21</c:f>
              <c:numCache>
                <c:formatCode>0.000</c:formatCode>
                <c:ptCount val="1"/>
              </c:numCache>
            </c:numRef>
          </c:xVal>
          <c:yVal>
            <c:numRef>
              <c:f>Decenter!$P$21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A3-4B94-A8C4-CEF67E1F42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Decenter!$T$20</c:f>
              <c:strCache>
                <c:ptCount val="1"/>
                <c:pt idx="0">
                  <c:v>R1</c:v>
                </c:pt>
              </c:strCache>
            </c:strRef>
          </c:tx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Decenter!$U$20</c:f>
              <c:numCache>
                <c:formatCode>0.000_ </c:formatCode>
                <c:ptCount val="1"/>
              </c:numCache>
            </c:numRef>
          </c:xVal>
          <c:yVal>
            <c:numRef>
              <c:f>Decenter!$V$20</c:f>
              <c:numCache>
                <c:formatCode>0.000_ 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73-4AEC-8463-8EB710086944}"/>
            </c:ext>
          </c:extLst>
        </c:ser>
        <c:ser>
          <c:idx val="1"/>
          <c:order val="1"/>
          <c:tx>
            <c:strRef>
              <c:f>Decenter!$T$21</c:f>
              <c:strCache>
                <c:ptCount val="1"/>
                <c:pt idx="0">
                  <c:v>R2</c:v>
                </c:pt>
              </c:strCache>
            </c:strRef>
          </c:tx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Decenter!$U$21</c:f>
              <c:numCache>
                <c:formatCode>0.000_ </c:formatCode>
                <c:ptCount val="1"/>
              </c:numCache>
            </c:numRef>
          </c:xVal>
          <c:yVal>
            <c:numRef>
              <c:f>Decenter!$V$21</c:f>
              <c:numCache>
                <c:formatCode>0.000_ 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73-4AEC-8463-8EB71008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_ 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Decenter!$B$35</c:f>
              <c:strCache>
                <c:ptCount val="1"/>
                <c:pt idx="0">
                  <c:v>R1</c:v>
                </c:pt>
              </c:strCache>
            </c:strRef>
          </c:tx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Decenter!$C$35</c:f>
              <c:numCache>
                <c:formatCode>0.000</c:formatCode>
                <c:ptCount val="1"/>
              </c:numCache>
            </c:numRef>
          </c:xVal>
          <c:yVal>
            <c:numRef>
              <c:f>Decenter!$D$35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3B-4E04-97FD-1017404B60EB}"/>
            </c:ext>
          </c:extLst>
        </c:ser>
        <c:ser>
          <c:idx val="1"/>
          <c:order val="1"/>
          <c:tx>
            <c:strRef>
              <c:f>Decenter!$B$36</c:f>
              <c:strCache>
                <c:ptCount val="1"/>
                <c:pt idx="0">
                  <c:v>R2</c:v>
                </c:pt>
              </c:strCache>
            </c:strRef>
          </c:tx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Decenter!$C$36</c:f>
              <c:numCache>
                <c:formatCode>0.000</c:formatCode>
                <c:ptCount val="1"/>
              </c:numCache>
            </c:numRef>
          </c:xVal>
          <c:yVal>
            <c:numRef>
              <c:f>Decenter!$D$36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3B-4E04-97FD-1017404B6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Decenter!$H$35</c:f>
              <c:strCache>
                <c:ptCount val="1"/>
                <c:pt idx="0">
                  <c:v>R1</c:v>
                </c:pt>
              </c:strCache>
            </c:strRef>
          </c:tx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Decenter!$I$35</c:f>
              <c:numCache>
                <c:formatCode>0.000</c:formatCode>
                <c:ptCount val="1"/>
              </c:numCache>
            </c:numRef>
          </c:xVal>
          <c:yVal>
            <c:numRef>
              <c:f>Decenter!$J$35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4E-4619-B5FE-EBD266947D7C}"/>
            </c:ext>
          </c:extLst>
        </c:ser>
        <c:ser>
          <c:idx val="1"/>
          <c:order val="1"/>
          <c:tx>
            <c:strRef>
              <c:f>Decenter!$H$36</c:f>
              <c:strCache>
                <c:ptCount val="1"/>
                <c:pt idx="0">
                  <c:v>R2</c:v>
                </c:pt>
              </c:strCache>
            </c:strRef>
          </c:tx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Decenter!$I$36</c:f>
              <c:numCache>
                <c:formatCode>0.000</c:formatCode>
                <c:ptCount val="1"/>
              </c:numCache>
            </c:numRef>
          </c:xVal>
          <c:yVal>
            <c:numRef>
              <c:f>Decenter!$J$36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4E-4619-B5FE-EBD266947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Decenter!$N$35</c:f>
              <c:strCache>
                <c:ptCount val="1"/>
                <c:pt idx="0">
                  <c:v>R1</c:v>
                </c:pt>
              </c:strCache>
            </c:strRef>
          </c:tx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Decenter!$O$35</c:f>
              <c:numCache>
                <c:formatCode>0.000</c:formatCode>
                <c:ptCount val="1"/>
              </c:numCache>
            </c:numRef>
          </c:xVal>
          <c:yVal>
            <c:numRef>
              <c:f>Decenter!$P$35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64-4FA5-9D5A-48C6039FC3BD}"/>
            </c:ext>
          </c:extLst>
        </c:ser>
        <c:ser>
          <c:idx val="1"/>
          <c:order val="1"/>
          <c:tx>
            <c:strRef>
              <c:f>Decenter!$N$36</c:f>
              <c:strCache>
                <c:ptCount val="1"/>
                <c:pt idx="0">
                  <c:v>R2</c:v>
                </c:pt>
              </c:strCache>
            </c:strRef>
          </c:tx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Decenter!$O$36</c:f>
              <c:numCache>
                <c:formatCode>0.000</c:formatCode>
                <c:ptCount val="1"/>
              </c:numCache>
            </c:numRef>
          </c:xVal>
          <c:yVal>
            <c:numRef>
              <c:f>Decenter!$P$36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64-4FA5-9D5A-48C6039FC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Decenter!$T$35</c:f>
              <c:strCache>
                <c:ptCount val="1"/>
                <c:pt idx="0">
                  <c:v>R1</c:v>
                </c:pt>
              </c:strCache>
            </c:strRef>
          </c:tx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Decenter!$U$35</c:f>
              <c:numCache>
                <c:formatCode>0.000_ </c:formatCode>
                <c:ptCount val="1"/>
              </c:numCache>
            </c:numRef>
          </c:xVal>
          <c:yVal>
            <c:numRef>
              <c:f>Decenter!$V$35</c:f>
              <c:numCache>
                <c:formatCode>0.000_ 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05-4656-92C3-6CCB8239B7CE}"/>
            </c:ext>
          </c:extLst>
        </c:ser>
        <c:ser>
          <c:idx val="1"/>
          <c:order val="1"/>
          <c:tx>
            <c:strRef>
              <c:f>Decenter!$T$36</c:f>
              <c:strCache>
                <c:ptCount val="1"/>
                <c:pt idx="0">
                  <c:v>R2</c:v>
                </c:pt>
              </c:strCache>
            </c:strRef>
          </c:tx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Decenter!$U$36</c:f>
              <c:numCache>
                <c:formatCode>0.000_ </c:formatCode>
                <c:ptCount val="1"/>
              </c:numCache>
            </c:numRef>
          </c:xVal>
          <c:yVal>
            <c:numRef>
              <c:f>Decenter!$V$36</c:f>
              <c:numCache>
                <c:formatCode>0.000_ 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05-4656-92C3-6CCB8239B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_ 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Decenter!$B$50</c:f>
              <c:strCache>
                <c:ptCount val="1"/>
                <c:pt idx="0">
                  <c:v>R1</c:v>
                </c:pt>
              </c:strCache>
            </c:strRef>
          </c:tx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Decenter!$C$50</c:f>
              <c:numCache>
                <c:formatCode>0.000</c:formatCode>
                <c:ptCount val="1"/>
              </c:numCache>
            </c:numRef>
          </c:xVal>
          <c:yVal>
            <c:numRef>
              <c:f>Decenter!$D$50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33-48DE-A186-40FA1F625ACA}"/>
            </c:ext>
          </c:extLst>
        </c:ser>
        <c:ser>
          <c:idx val="1"/>
          <c:order val="1"/>
          <c:tx>
            <c:strRef>
              <c:f>Decenter!$B$51</c:f>
              <c:strCache>
                <c:ptCount val="1"/>
                <c:pt idx="0">
                  <c:v>R2</c:v>
                </c:pt>
              </c:strCache>
            </c:strRef>
          </c:tx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Decenter!$C$51</c:f>
              <c:numCache>
                <c:formatCode>0.000</c:formatCode>
                <c:ptCount val="1"/>
              </c:numCache>
            </c:numRef>
          </c:xVal>
          <c:yVal>
            <c:numRef>
              <c:f>Decenter!$D$51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33-48DE-A186-40FA1F625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Decenter!$H$50</c:f>
              <c:strCache>
                <c:ptCount val="1"/>
                <c:pt idx="0">
                  <c:v>R1</c:v>
                </c:pt>
              </c:strCache>
            </c:strRef>
          </c:tx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Decenter!$I$50</c:f>
              <c:numCache>
                <c:formatCode>0.000</c:formatCode>
                <c:ptCount val="1"/>
              </c:numCache>
            </c:numRef>
          </c:xVal>
          <c:yVal>
            <c:numRef>
              <c:f>Decenter!$J$50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5C-475F-BEB8-FE388FBBCC82}"/>
            </c:ext>
          </c:extLst>
        </c:ser>
        <c:ser>
          <c:idx val="1"/>
          <c:order val="1"/>
          <c:tx>
            <c:strRef>
              <c:f>Decenter!$H$51</c:f>
              <c:strCache>
                <c:ptCount val="1"/>
                <c:pt idx="0">
                  <c:v>R2</c:v>
                </c:pt>
              </c:strCache>
            </c:strRef>
          </c:tx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Decenter!$I$51</c:f>
              <c:numCache>
                <c:formatCode>0.000</c:formatCode>
                <c:ptCount val="1"/>
              </c:numCache>
            </c:numRef>
          </c:xVal>
          <c:yVal>
            <c:numRef>
              <c:f>Decenter!$J$51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5C-475F-BEB8-FE388FBBC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Decenter!$N$50</c:f>
              <c:strCache>
                <c:ptCount val="1"/>
                <c:pt idx="0">
                  <c:v>R1</c:v>
                </c:pt>
              </c:strCache>
            </c:strRef>
          </c:tx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Decenter!$O$50</c:f>
              <c:numCache>
                <c:formatCode>0.000</c:formatCode>
                <c:ptCount val="1"/>
              </c:numCache>
            </c:numRef>
          </c:xVal>
          <c:yVal>
            <c:numRef>
              <c:f>Decenter!$P$50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47-41DB-B9B4-A89F16B1A483}"/>
            </c:ext>
          </c:extLst>
        </c:ser>
        <c:ser>
          <c:idx val="1"/>
          <c:order val="1"/>
          <c:tx>
            <c:strRef>
              <c:f>Decenter!$N$51</c:f>
              <c:strCache>
                <c:ptCount val="1"/>
                <c:pt idx="0">
                  <c:v>R2</c:v>
                </c:pt>
              </c:strCache>
            </c:strRef>
          </c:tx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Decenter!$O$51</c:f>
              <c:numCache>
                <c:formatCode>0.000</c:formatCode>
                <c:ptCount val="1"/>
              </c:numCache>
            </c:numRef>
          </c:xVal>
          <c:yVal>
            <c:numRef>
              <c:f>Decenter!$P$51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47-41DB-B9B4-A89F16B1A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Decenter!$T$50</c:f>
              <c:strCache>
                <c:ptCount val="1"/>
                <c:pt idx="0">
                  <c:v>R1</c:v>
                </c:pt>
              </c:strCache>
            </c:strRef>
          </c:tx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Decenter!$U$50</c:f>
              <c:numCache>
                <c:formatCode>0.000_ </c:formatCode>
                <c:ptCount val="1"/>
              </c:numCache>
            </c:numRef>
          </c:xVal>
          <c:yVal>
            <c:numRef>
              <c:f>Decenter!$V$50</c:f>
              <c:numCache>
                <c:formatCode>0.000_ 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5B-4F79-ADCA-6D4223938EB4}"/>
            </c:ext>
          </c:extLst>
        </c:ser>
        <c:ser>
          <c:idx val="1"/>
          <c:order val="1"/>
          <c:tx>
            <c:strRef>
              <c:f>Decenter!$T$51</c:f>
              <c:strCache>
                <c:ptCount val="1"/>
                <c:pt idx="0">
                  <c:v>R2</c:v>
                </c:pt>
              </c:strCache>
            </c:strRef>
          </c:tx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Decenter!$U$51</c:f>
              <c:numCache>
                <c:formatCode>0.000_ </c:formatCode>
                <c:ptCount val="1"/>
              </c:numCache>
            </c:numRef>
          </c:xVal>
          <c:yVal>
            <c:numRef>
              <c:f>Decenter!$V$51</c:f>
              <c:numCache>
                <c:formatCode>0.000_ 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5B-4F79-ADCA-6D4223938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_ 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Decenter!$B$65</c:f>
              <c:strCache>
                <c:ptCount val="1"/>
              </c:strCache>
            </c:strRef>
          </c:tx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Decenter!$C$65</c:f>
              <c:numCache>
                <c:formatCode>0.000</c:formatCode>
                <c:ptCount val="1"/>
              </c:numCache>
            </c:numRef>
          </c:xVal>
          <c:yVal>
            <c:numRef>
              <c:f>Decenter!$D$65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E6-4AEE-940A-73A2CA027FA2}"/>
            </c:ext>
          </c:extLst>
        </c:ser>
        <c:ser>
          <c:idx val="1"/>
          <c:order val="1"/>
          <c:tx>
            <c:strRef>
              <c:f>Decenter!$B$66</c:f>
              <c:strCache>
                <c:ptCount val="1"/>
              </c:strCache>
            </c:strRef>
          </c:tx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Decenter!$C$66</c:f>
              <c:numCache>
                <c:formatCode>0.000</c:formatCode>
                <c:ptCount val="1"/>
              </c:numCache>
            </c:numRef>
          </c:xVal>
          <c:yVal>
            <c:numRef>
              <c:f>Decenter!$D$66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E6-4AEE-940A-73A2CA027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Decenter!$H$65</c:f>
              <c:strCache>
                <c:ptCount val="1"/>
              </c:strCache>
            </c:strRef>
          </c:tx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Decenter!$I$65</c:f>
              <c:numCache>
                <c:formatCode>0.000</c:formatCode>
                <c:ptCount val="1"/>
              </c:numCache>
            </c:numRef>
          </c:xVal>
          <c:yVal>
            <c:numRef>
              <c:f>Decenter!$J$65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EC-49B6-BC95-0D3A4BB07B56}"/>
            </c:ext>
          </c:extLst>
        </c:ser>
        <c:ser>
          <c:idx val="1"/>
          <c:order val="1"/>
          <c:tx>
            <c:strRef>
              <c:f>Decenter!$H$66</c:f>
              <c:strCache>
                <c:ptCount val="1"/>
              </c:strCache>
            </c:strRef>
          </c:tx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Decenter!$I$66</c:f>
              <c:numCache>
                <c:formatCode>0.000</c:formatCode>
                <c:ptCount val="1"/>
              </c:numCache>
            </c:numRef>
          </c:xVal>
          <c:yVal>
            <c:numRef>
              <c:f>Decenter!$J$66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EC-49B6-BC95-0D3A4BB07B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Decenter!$N$65</c:f>
              <c:strCache>
                <c:ptCount val="1"/>
              </c:strCache>
            </c:strRef>
          </c:tx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Decenter!$O$65</c:f>
              <c:numCache>
                <c:formatCode>0.000</c:formatCode>
                <c:ptCount val="1"/>
              </c:numCache>
            </c:numRef>
          </c:xVal>
          <c:yVal>
            <c:numRef>
              <c:f>Decenter!$P$65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C6-43E7-96BD-7F2BC1892F7B}"/>
            </c:ext>
          </c:extLst>
        </c:ser>
        <c:ser>
          <c:idx val="1"/>
          <c:order val="1"/>
          <c:tx>
            <c:strRef>
              <c:f>Decenter!$N$66</c:f>
              <c:strCache>
                <c:ptCount val="1"/>
              </c:strCache>
            </c:strRef>
          </c:tx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Decenter!$O$66</c:f>
              <c:numCache>
                <c:formatCode>0.000</c:formatCode>
                <c:ptCount val="1"/>
              </c:numCache>
            </c:numRef>
          </c:xVal>
          <c:yVal>
            <c:numRef>
              <c:f>Decenter!$P$66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C6-43E7-96BD-7F2BC1892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Decenter!$T$65</c:f>
              <c:strCache>
                <c:ptCount val="1"/>
              </c:strCache>
            </c:strRef>
          </c:tx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Decenter!$U$65</c:f>
              <c:numCache>
                <c:formatCode>0.000_ </c:formatCode>
                <c:ptCount val="1"/>
              </c:numCache>
            </c:numRef>
          </c:xVal>
          <c:yVal>
            <c:numRef>
              <c:f>Decenter!$V$65</c:f>
              <c:numCache>
                <c:formatCode>0.000_ 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F4-4A7B-9032-E6783AB241B1}"/>
            </c:ext>
          </c:extLst>
        </c:ser>
        <c:ser>
          <c:idx val="1"/>
          <c:order val="1"/>
          <c:tx>
            <c:strRef>
              <c:f>Decenter!$T$66</c:f>
              <c:strCache>
                <c:ptCount val="1"/>
              </c:strCache>
            </c:strRef>
          </c:tx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Decenter!$U$66</c:f>
              <c:numCache>
                <c:formatCode>0.000_ </c:formatCode>
                <c:ptCount val="1"/>
              </c:numCache>
            </c:numRef>
          </c:xVal>
          <c:yVal>
            <c:numRef>
              <c:f>Decenter!$V$66</c:f>
              <c:numCache>
                <c:formatCode>0.000_ 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F4-4A7B-9032-E6783AB24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_ 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Decenter!$B$80</c:f>
              <c:strCache>
                <c:ptCount val="1"/>
              </c:strCache>
            </c:strRef>
          </c:tx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Decenter!$C$80</c:f>
              <c:numCache>
                <c:formatCode>0.000</c:formatCode>
                <c:ptCount val="1"/>
              </c:numCache>
            </c:numRef>
          </c:xVal>
          <c:yVal>
            <c:numRef>
              <c:f>Decenter!$D$80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E8-4F07-AE5B-8422FC48F4AD}"/>
            </c:ext>
          </c:extLst>
        </c:ser>
        <c:ser>
          <c:idx val="1"/>
          <c:order val="1"/>
          <c:tx>
            <c:strRef>
              <c:f>Decenter!$B$81</c:f>
              <c:strCache>
                <c:ptCount val="1"/>
              </c:strCache>
            </c:strRef>
          </c:tx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Decenter!$C$81</c:f>
              <c:numCache>
                <c:formatCode>0.000</c:formatCode>
                <c:ptCount val="1"/>
              </c:numCache>
            </c:numRef>
          </c:xVal>
          <c:yVal>
            <c:numRef>
              <c:f>Decenter!$D$81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E8-4F07-AE5B-8422FC48F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Decenter!$H$80</c:f>
              <c:strCache>
                <c:ptCount val="1"/>
              </c:strCache>
            </c:strRef>
          </c:tx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Decenter!$I$80</c:f>
              <c:numCache>
                <c:formatCode>0.000</c:formatCode>
                <c:ptCount val="1"/>
              </c:numCache>
            </c:numRef>
          </c:xVal>
          <c:yVal>
            <c:numRef>
              <c:f>Decenter!$J$80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D2-4DF3-8A77-135E6EE37B9A}"/>
            </c:ext>
          </c:extLst>
        </c:ser>
        <c:ser>
          <c:idx val="1"/>
          <c:order val="1"/>
          <c:tx>
            <c:strRef>
              <c:f>Decenter!$H$81</c:f>
              <c:strCache>
                <c:ptCount val="1"/>
              </c:strCache>
            </c:strRef>
          </c:tx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Decenter!$I$81</c:f>
              <c:numCache>
                <c:formatCode>0.000</c:formatCode>
                <c:ptCount val="1"/>
              </c:numCache>
            </c:numRef>
          </c:xVal>
          <c:yVal>
            <c:numRef>
              <c:f>Decenter!$J$81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D2-4DF3-8A77-135E6EE37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Decenter!$N$80</c:f>
              <c:strCache>
                <c:ptCount val="1"/>
              </c:strCache>
            </c:strRef>
          </c:tx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Decenter!$O$80</c:f>
              <c:numCache>
                <c:formatCode>0.000</c:formatCode>
                <c:ptCount val="1"/>
              </c:numCache>
            </c:numRef>
          </c:xVal>
          <c:yVal>
            <c:numRef>
              <c:f>Decenter!$P$80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55-48E8-BFEC-B542CE220B63}"/>
            </c:ext>
          </c:extLst>
        </c:ser>
        <c:ser>
          <c:idx val="1"/>
          <c:order val="1"/>
          <c:tx>
            <c:strRef>
              <c:f>Decenter!$N$81</c:f>
              <c:strCache>
                <c:ptCount val="1"/>
              </c:strCache>
            </c:strRef>
          </c:tx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Decenter!$O$81</c:f>
              <c:numCache>
                <c:formatCode>0.000</c:formatCode>
                <c:ptCount val="1"/>
              </c:numCache>
            </c:numRef>
          </c:xVal>
          <c:yVal>
            <c:numRef>
              <c:f>Decenter!$P$81</c:f>
              <c:numCache>
                <c:formatCode>0.000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55-48E8-BFEC-B542CE220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1565495207668E-2"/>
          <c:y val="4.7381574981963402E-2"/>
          <c:w val="0.88178913738019205"/>
          <c:h val="0.93142201346122799"/>
        </c:manualLayout>
      </c:layout>
      <c:scatterChart>
        <c:scatterStyle val="lineMarker"/>
        <c:varyColors val="0"/>
        <c:ser>
          <c:idx val="0"/>
          <c:order val="0"/>
          <c:tx>
            <c:strRef>
              <c:f>Decenter!$T$80</c:f>
              <c:strCache>
                <c:ptCount val="1"/>
              </c:strCache>
            </c:strRef>
          </c:tx>
          <c:marker>
            <c:symbol val="diamond"/>
            <c:size val="7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1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Decenter!$U$80</c:f>
              <c:numCache>
                <c:formatCode>0.000_ </c:formatCode>
                <c:ptCount val="1"/>
              </c:numCache>
            </c:numRef>
          </c:xVal>
          <c:yVal>
            <c:numRef>
              <c:f>Decenter!$V$80</c:f>
              <c:numCache>
                <c:formatCode>0.000_ 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0A-4AD0-8A85-F51F10AC5287}"/>
            </c:ext>
          </c:extLst>
        </c:ser>
        <c:ser>
          <c:idx val="1"/>
          <c:order val="1"/>
          <c:tx>
            <c:strRef>
              <c:f>Decenter!$T$81</c:f>
              <c:strCache>
                <c:ptCount val="1"/>
              </c:strCache>
            </c:strRef>
          </c:tx>
          <c:marker>
            <c:symbol val="square"/>
            <c:size val="7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solidFill>
                  <a:schemeClr val="accent2"/>
                </a:solidFill>
              </a:ln>
              <a:effectLst>
                <a:outerShdw blurRad="57150" dist="19050" dir="5400000" rotWithShape="0">
                  <a:schemeClr val="dk1">
                    <a:alpha val="63000"/>
                  </a:schemeClr>
                </a:outerShdw>
              </a:effectLst>
            </c:spPr>
          </c:marker>
          <c:xVal>
            <c:numRef>
              <c:f>Decenter!$U$81</c:f>
              <c:numCache>
                <c:formatCode>0.000_ </c:formatCode>
                <c:ptCount val="1"/>
              </c:numCache>
            </c:numRef>
          </c:xVal>
          <c:yVal>
            <c:numRef>
              <c:f>Decenter!$V$81</c:f>
              <c:numCache>
                <c:formatCode>0.000_ 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0A-4AD0-8A85-F51F10AC5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889536"/>
        <c:axId val="404890096"/>
      </c:scatterChart>
      <c:valAx>
        <c:axId val="404889536"/>
        <c:scaling>
          <c:orientation val="minMax"/>
          <c:max val="10"/>
          <c:min val="-10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0.76550488119678095"/>
              <c:y val="0.87695483940796104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@" sourceLinked="0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latin typeface="宋体" pitchFamily="7" charset="-122"/>
                <a:ea typeface="宋体" pitchFamily="7" charset="-122"/>
                <a:cs typeface="宋体" pitchFamily="7" charset="-122"/>
              </a:defRPr>
            </a:pPr>
            <a:endParaRPr lang="zh-TW"/>
          </a:p>
        </c:txPr>
        <c:crossAx val="404890096"/>
        <c:crosses val="autoZero"/>
        <c:crossBetween val="midCat"/>
        <c:majorUnit val="5"/>
        <c:minorUnit val="2"/>
      </c:valAx>
      <c:valAx>
        <c:axId val="404890096"/>
        <c:scaling>
          <c:orientation val="minMax"/>
          <c:max val="10"/>
          <c:min val="-10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algn="ctr"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[um]</a:t>
                </a:r>
              </a:p>
            </c:rich>
          </c:tx>
          <c:layout>
            <c:manualLayout>
              <c:xMode val="edge"/>
              <c:yMode val="edge"/>
              <c:x val="4.8448151901804397E-3"/>
              <c:y val="0.46611016406454298"/>
            </c:manualLayout>
          </c:layout>
          <c:overlay val="0"/>
          <c:spPr>
            <a:noFill/>
            <a:ln w="25400">
              <a:noFill/>
            </a:ln>
            <a:effectLst/>
          </c:spPr>
        </c:title>
        <c:numFmt formatCode="0.000_ " sourceLinked="1"/>
        <c:majorTickMark val="in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04889536"/>
        <c:crosses val="autoZero"/>
        <c:crossBetween val="midCat"/>
        <c:majorUnit val="5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3035177533501"/>
          <c:y val="0.36408997844341601"/>
          <c:w val="0.123003213707197"/>
          <c:h val="0.29052394223917899"/>
        </c:manualLayout>
      </c:layout>
      <c:overlay val="0"/>
      <c:spPr>
        <a:noFill/>
        <a:ln w="25400"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</a:ln>
    <a:effectLst/>
  </c:spPr>
  <c:txPr>
    <a:bodyPr rot="0" spcFirstLastPara="0" vertOverflow="ellipsis" horzOverflow="overflow" vert="horz" wrap="square" anchor="ctr" anchorCtr="1"/>
    <a:lstStyle/>
    <a:p>
      <a:pPr>
        <a:defRPr lang="zh-CN"/>
      </a:pPr>
      <a:endParaRPr lang="zh-TW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170490</xdr:colOff>
      <xdr:row>3</xdr:row>
      <xdr:rowOff>27213</xdr:rowOff>
    </xdr:to>
    <xdr:pic>
      <xdr:nvPicPr>
        <xdr:cNvPr id="3" name="Logo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929" y="0"/>
          <a:ext cx="4225418" cy="7756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</xdr:row>
      <xdr:rowOff>0</xdr:rowOff>
    </xdr:from>
    <xdr:to>
      <xdr:col>6</xdr:col>
      <xdr:colOff>0</xdr:colOff>
      <xdr:row>17</xdr:row>
      <xdr:rowOff>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</xdr:row>
      <xdr:rowOff>0</xdr:rowOff>
    </xdr:from>
    <xdr:to>
      <xdr:col>12</xdr:col>
      <xdr:colOff>0</xdr:colOff>
      <xdr:row>17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504824</xdr:colOff>
      <xdr:row>6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</xdr:colOff>
      <xdr:row>6</xdr:row>
      <xdr:rowOff>0</xdr:rowOff>
    </xdr:from>
    <xdr:to>
      <xdr:col>24</xdr:col>
      <xdr:colOff>1</xdr:colOff>
      <xdr:row>17</xdr:row>
      <xdr:rowOff>0</xdr:rowOff>
    </xdr:to>
    <xdr:graphicFrame macro="">
      <xdr:nvGraphicFramePr>
        <xdr:cNvPr id="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6</xdr:col>
      <xdr:colOff>0</xdr:colOff>
      <xdr:row>32</xdr:row>
      <xdr:rowOff>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7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21</xdr:row>
      <xdr:rowOff>0</xdr:rowOff>
    </xdr:from>
    <xdr:to>
      <xdr:col>18</xdr:col>
      <xdr:colOff>1</xdr:colOff>
      <xdr:row>32</xdr:row>
      <xdr:rowOff>0</xdr:rowOff>
    </xdr:to>
    <xdr:graphicFrame macro="">
      <xdr:nvGraphicFramePr>
        <xdr:cNvPr id="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2</xdr:colOff>
      <xdr:row>21</xdr:row>
      <xdr:rowOff>0</xdr:rowOff>
    </xdr:from>
    <xdr:to>
      <xdr:col>24</xdr:col>
      <xdr:colOff>2</xdr:colOff>
      <xdr:row>32</xdr:row>
      <xdr:rowOff>0</xdr:rowOff>
    </xdr:to>
    <xdr:graphicFrame macro="">
      <xdr:nvGraphicFramePr>
        <xdr:cNvPr id="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5</xdr:col>
      <xdr:colOff>504824</xdr:colOff>
      <xdr:row>47</xdr:row>
      <xdr:rowOff>0</xdr:rowOff>
    </xdr:to>
    <xdr:graphicFrame macro="">
      <xdr:nvGraphicFramePr>
        <xdr:cNvPr id="1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504824</xdr:colOff>
      <xdr:row>36</xdr:row>
      <xdr:rowOff>0</xdr:rowOff>
    </xdr:from>
    <xdr:to>
      <xdr:col>11</xdr:col>
      <xdr:colOff>504824</xdr:colOff>
      <xdr:row>47</xdr:row>
      <xdr:rowOff>0</xdr:rowOff>
    </xdr:to>
    <xdr:graphicFrame macro="">
      <xdr:nvGraphicFramePr>
        <xdr:cNvPr id="1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504823</xdr:colOff>
      <xdr:row>36</xdr:row>
      <xdr:rowOff>0</xdr:rowOff>
    </xdr:from>
    <xdr:to>
      <xdr:col>17</xdr:col>
      <xdr:colOff>504824</xdr:colOff>
      <xdr:row>47</xdr:row>
      <xdr:rowOff>0</xdr:rowOff>
    </xdr:to>
    <xdr:graphicFrame macro="">
      <xdr:nvGraphicFramePr>
        <xdr:cNvPr id="1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0</xdr:colOff>
      <xdr:row>36</xdr:row>
      <xdr:rowOff>0</xdr:rowOff>
    </xdr:from>
    <xdr:to>
      <xdr:col>24</xdr:col>
      <xdr:colOff>0</xdr:colOff>
      <xdr:row>47</xdr:row>
      <xdr:rowOff>0</xdr:rowOff>
    </xdr:to>
    <xdr:graphicFrame macro="">
      <xdr:nvGraphicFramePr>
        <xdr:cNvPr id="1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51</xdr:row>
      <xdr:rowOff>0</xdr:rowOff>
    </xdr:from>
    <xdr:to>
      <xdr:col>5</xdr:col>
      <xdr:colOff>504824</xdr:colOff>
      <xdr:row>62</xdr:row>
      <xdr:rowOff>0</xdr:rowOff>
    </xdr:to>
    <xdr:graphicFrame macro="">
      <xdr:nvGraphicFramePr>
        <xdr:cNvPr id="1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504824</xdr:colOff>
      <xdr:row>51</xdr:row>
      <xdr:rowOff>0</xdr:rowOff>
    </xdr:from>
    <xdr:to>
      <xdr:col>11</xdr:col>
      <xdr:colOff>504824</xdr:colOff>
      <xdr:row>62</xdr:row>
      <xdr:rowOff>0</xdr:rowOff>
    </xdr:to>
    <xdr:graphicFrame macro="">
      <xdr:nvGraphicFramePr>
        <xdr:cNvPr id="1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11</xdr:col>
      <xdr:colOff>504823</xdr:colOff>
      <xdr:row>51</xdr:row>
      <xdr:rowOff>0</xdr:rowOff>
    </xdr:from>
    <xdr:to>
      <xdr:col>17</xdr:col>
      <xdr:colOff>504824</xdr:colOff>
      <xdr:row>62</xdr:row>
      <xdr:rowOff>0</xdr:rowOff>
    </xdr:to>
    <xdr:graphicFrame macro="">
      <xdr:nvGraphicFramePr>
        <xdr:cNvPr id="1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18</xdr:col>
      <xdr:colOff>0</xdr:colOff>
      <xdr:row>51</xdr:row>
      <xdr:rowOff>0</xdr:rowOff>
    </xdr:from>
    <xdr:to>
      <xdr:col>24</xdr:col>
      <xdr:colOff>0</xdr:colOff>
      <xdr:row>62</xdr:row>
      <xdr:rowOff>0</xdr:rowOff>
    </xdr:to>
    <xdr:graphicFrame macro="">
      <xdr:nvGraphicFramePr>
        <xdr:cNvPr id="17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5</xdr:col>
      <xdr:colOff>504824</xdr:colOff>
      <xdr:row>77</xdr:row>
      <xdr:rowOff>0</xdr:rowOff>
    </xdr:to>
    <xdr:graphicFrame macro="">
      <xdr:nvGraphicFramePr>
        <xdr:cNvPr id="1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504824</xdr:colOff>
      <xdr:row>66</xdr:row>
      <xdr:rowOff>0</xdr:rowOff>
    </xdr:from>
    <xdr:to>
      <xdr:col>11</xdr:col>
      <xdr:colOff>504824</xdr:colOff>
      <xdr:row>77</xdr:row>
      <xdr:rowOff>0</xdr:rowOff>
    </xdr:to>
    <xdr:graphicFrame macro="">
      <xdr:nvGraphicFramePr>
        <xdr:cNvPr id="19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11</xdr:col>
      <xdr:colOff>504823</xdr:colOff>
      <xdr:row>66</xdr:row>
      <xdr:rowOff>0</xdr:rowOff>
    </xdr:from>
    <xdr:to>
      <xdr:col>17</xdr:col>
      <xdr:colOff>504824</xdr:colOff>
      <xdr:row>77</xdr:row>
      <xdr:rowOff>0</xdr:rowOff>
    </xdr:to>
    <xdr:graphicFrame macro="">
      <xdr:nvGraphicFramePr>
        <xdr:cNvPr id="2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18</xdr:col>
      <xdr:colOff>0</xdr:colOff>
      <xdr:row>66</xdr:row>
      <xdr:rowOff>0</xdr:rowOff>
    </xdr:from>
    <xdr:to>
      <xdr:col>24</xdr:col>
      <xdr:colOff>0</xdr:colOff>
      <xdr:row>77</xdr:row>
      <xdr:rowOff>0</xdr:rowOff>
    </xdr:to>
    <xdr:graphicFrame macro="">
      <xdr:nvGraphicFramePr>
        <xdr:cNvPr id="21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81</xdr:row>
      <xdr:rowOff>0</xdr:rowOff>
    </xdr:from>
    <xdr:to>
      <xdr:col>5</xdr:col>
      <xdr:colOff>504824</xdr:colOff>
      <xdr:row>92</xdr:row>
      <xdr:rowOff>0</xdr:rowOff>
    </xdr:to>
    <xdr:graphicFrame macro="">
      <xdr:nvGraphicFramePr>
        <xdr:cNvPr id="2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504824</xdr:colOff>
      <xdr:row>81</xdr:row>
      <xdr:rowOff>0</xdr:rowOff>
    </xdr:from>
    <xdr:to>
      <xdr:col>11</xdr:col>
      <xdr:colOff>504824</xdr:colOff>
      <xdr:row>92</xdr:row>
      <xdr:rowOff>0</xdr:rowOff>
    </xdr:to>
    <xdr:graphicFrame macro="">
      <xdr:nvGraphicFramePr>
        <xdr:cNvPr id="2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11</xdr:col>
      <xdr:colOff>504823</xdr:colOff>
      <xdr:row>81</xdr:row>
      <xdr:rowOff>0</xdr:rowOff>
    </xdr:from>
    <xdr:to>
      <xdr:col>17</xdr:col>
      <xdr:colOff>504824</xdr:colOff>
      <xdr:row>92</xdr:row>
      <xdr:rowOff>0</xdr:rowOff>
    </xdr:to>
    <xdr:graphicFrame macro="">
      <xdr:nvGraphicFramePr>
        <xdr:cNvPr id="2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18</xdr:col>
      <xdr:colOff>0</xdr:colOff>
      <xdr:row>81</xdr:row>
      <xdr:rowOff>0</xdr:rowOff>
    </xdr:from>
    <xdr:to>
      <xdr:col>24</xdr:col>
      <xdr:colOff>0</xdr:colOff>
      <xdr:row>92</xdr:row>
      <xdr:rowOff>0</xdr:rowOff>
    </xdr:to>
    <xdr:graphicFrame macro="">
      <xdr:nvGraphicFramePr>
        <xdr:cNvPr id="25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gram/&#20013;&#25562;&#21697;&#20445;/&#37327;&#28204;&#25976;&#25818;&#25972;&#29702;&#33258;&#21205;&#21270;/&#37857;&#29255;&#24037;&#31243;&#27298;/&#30333;&#29289;&#37857;&#29255;&#24037;&#31243;/OLD/NEW-&#37857;&#29255;&#31354;&#30333;&#27284;-V4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封面"/>
      <sheetName val="DATA"/>
      <sheetName val="偏芯"/>
      <sheetName val="面型"/>
      <sheetName val="成型條件"/>
      <sheetName val="Program"/>
    </sheetNames>
    <sheetDataSet>
      <sheetData sheetId="0" refreshError="1"/>
      <sheetData sheetId="1" refreshError="1"/>
      <sheetData sheetId="2">
        <row r="7">
          <cell r="B7" t="str">
            <v>R1</v>
          </cell>
          <cell r="H7" t="str">
            <v>R1</v>
          </cell>
          <cell r="N7" t="str">
            <v>R1</v>
          </cell>
          <cell r="T7" t="str">
            <v>R1</v>
          </cell>
        </row>
        <row r="8">
          <cell r="B8" t="str">
            <v>R2</v>
          </cell>
          <cell r="H8" t="str">
            <v>R2</v>
          </cell>
          <cell r="N8" t="str">
            <v>R2</v>
          </cell>
          <cell r="T8" t="str">
            <v>R2</v>
          </cell>
        </row>
        <row r="22">
          <cell r="B22" t="str">
            <v>R1</v>
          </cell>
          <cell r="H22" t="str">
            <v>R1</v>
          </cell>
          <cell r="N22" t="str">
            <v>R1</v>
          </cell>
          <cell r="T22" t="str">
            <v>R1</v>
          </cell>
        </row>
        <row r="23">
          <cell r="B23" t="str">
            <v>R2</v>
          </cell>
          <cell r="H23" t="str">
            <v>R2</v>
          </cell>
          <cell r="N23" t="str">
            <v>R2</v>
          </cell>
          <cell r="T23" t="str">
            <v>R2</v>
          </cell>
        </row>
        <row r="37">
          <cell r="B37" t="str">
            <v>R1</v>
          </cell>
          <cell r="H37" t="str">
            <v>R1</v>
          </cell>
          <cell r="N37" t="str">
            <v>R1</v>
          </cell>
          <cell r="T37" t="str">
            <v>R1</v>
          </cell>
        </row>
        <row r="38">
          <cell r="B38" t="str">
            <v>R2</v>
          </cell>
          <cell r="H38" t="str">
            <v>R2</v>
          </cell>
          <cell r="N38" t="str">
            <v>R2</v>
          </cell>
          <cell r="T38" t="str">
            <v>R2</v>
          </cell>
        </row>
        <row r="52">
          <cell r="B52" t="str">
            <v>R1</v>
          </cell>
          <cell r="H52" t="str">
            <v>R1</v>
          </cell>
          <cell r="N52" t="str">
            <v>R1</v>
          </cell>
          <cell r="T52" t="str">
            <v>R1</v>
          </cell>
        </row>
        <row r="53">
          <cell r="B53" t="str">
            <v>R2</v>
          </cell>
          <cell r="H53" t="str">
            <v>R2</v>
          </cell>
          <cell r="N53" t="str">
            <v>R2</v>
          </cell>
          <cell r="T53" t="str">
            <v>R2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pageSetUpPr fitToPage="1"/>
  </sheetPr>
  <dimension ref="A1:W39"/>
  <sheetViews>
    <sheetView showGridLines="0" tabSelected="1" zoomScaleNormal="100" workbookViewId="0">
      <selection activeCell="D13" sqref="D13"/>
    </sheetView>
  </sheetViews>
  <sheetFormatPr defaultRowHeight="15.75"/>
  <cols>
    <col min="1" max="1" width="3.7109375" customWidth="1"/>
    <col min="2" max="3" width="7.7109375" style="1" customWidth="1"/>
    <col min="4" max="4" width="25.7109375" style="1" customWidth="1"/>
    <col min="5" max="7" width="9.7109375" style="1" customWidth="1"/>
    <col min="8" max="8" width="8.7109375" style="1" customWidth="1"/>
    <col min="9" max="10" width="9.7109375" style="1" customWidth="1"/>
    <col min="11" max="11" width="11.7109375" style="1" customWidth="1"/>
    <col min="12" max="19" width="9.7109375" style="1" customWidth="1"/>
    <col min="20" max="22" width="9.7109375" customWidth="1"/>
    <col min="23" max="23" width="11.7109375" customWidth="1"/>
  </cols>
  <sheetData>
    <row r="1" spans="1:23" ht="15.75" customHeight="1">
      <c r="B1" s="2"/>
      <c r="C1" s="50"/>
      <c r="D1" s="50"/>
      <c r="E1" s="50"/>
      <c r="F1" s="50"/>
      <c r="G1" s="50"/>
      <c r="H1" s="50"/>
      <c r="I1" s="51" t="s">
        <v>20</v>
      </c>
      <c r="J1" s="51"/>
      <c r="K1" s="51"/>
      <c r="L1" s="51"/>
      <c r="M1" s="51"/>
      <c r="N1" s="51"/>
      <c r="O1" s="11"/>
      <c r="P1" s="2"/>
      <c r="Q1" s="2"/>
      <c r="R1" s="2"/>
      <c r="S1" s="2"/>
      <c r="T1" s="3"/>
      <c r="U1" s="3"/>
      <c r="V1" s="3"/>
      <c r="W1" s="3"/>
    </row>
    <row r="2" spans="1:23" ht="21" customHeight="1">
      <c r="B2" s="3"/>
      <c r="C2" s="50"/>
      <c r="D2" s="50"/>
      <c r="E2" s="50"/>
      <c r="F2" s="50"/>
      <c r="G2" s="50"/>
      <c r="H2" s="50"/>
      <c r="I2" s="51"/>
      <c r="J2" s="51"/>
      <c r="K2" s="51"/>
      <c r="L2" s="51"/>
      <c r="M2" s="51"/>
      <c r="N2" s="51"/>
      <c r="O2" s="11"/>
      <c r="P2" s="4"/>
      <c r="S2" s="4"/>
      <c r="T2" s="4"/>
      <c r="U2" s="3"/>
      <c r="V2" s="3"/>
      <c r="W2" s="3"/>
    </row>
    <row r="3" spans="1:23" ht="21.95" customHeight="1">
      <c r="B3" s="3"/>
      <c r="C3" s="9"/>
      <c r="D3" s="9"/>
      <c r="E3" s="9"/>
      <c r="F3" s="9"/>
      <c r="G3" s="9"/>
      <c r="H3" s="9"/>
      <c r="I3" s="51"/>
      <c r="J3" s="51"/>
      <c r="K3" s="51"/>
      <c r="L3" s="51"/>
      <c r="M3" s="51"/>
      <c r="N3" s="51"/>
      <c r="O3" s="11"/>
      <c r="P3" s="4"/>
      <c r="Q3" s="27" t="s">
        <v>51</v>
      </c>
      <c r="R3" s="46"/>
      <c r="S3" s="47"/>
      <c r="T3" s="27" t="s">
        <v>17</v>
      </c>
      <c r="U3" s="46"/>
      <c r="V3" s="47"/>
      <c r="W3" s="3"/>
    </row>
    <row r="4" spans="1:23" ht="9" customHeight="1" thickBot="1">
      <c r="B4" s="3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  <c r="V4" s="7"/>
      <c r="W4" s="3"/>
    </row>
    <row r="5" spans="1:23" ht="26.1" customHeight="1">
      <c r="B5" s="55" t="s">
        <v>41</v>
      </c>
      <c r="C5" s="53"/>
      <c r="D5" s="28"/>
      <c r="E5" s="52" t="s">
        <v>39</v>
      </c>
      <c r="F5" s="53"/>
      <c r="G5" s="59"/>
      <c r="H5" s="60"/>
      <c r="I5" s="52" t="s">
        <v>38</v>
      </c>
      <c r="J5" s="53"/>
      <c r="K5" s="59"/>
      <c r="L5" s="60"/>
      <c r="M5" s="60"/>
      <c r="N5" s="10" t="s">
        <v>7</v>
      </c>
      <c r="O5" s="52"/>
      <c r="P5" s="54"/>
      <c r="Q5" s="52" t="s">
        <v>40</v>
      </c>
      <c r="R5" s="54"/>
      <c r="S5" s="67"/>
      <c r="T5" s="68"/>
      <c r="U5" s="73" t="s">
        <v>15</v>
      </c>
      <c r="V5" s="64"/>
    </row>
    <row r="6" spans="1:23" ht="26.1" customHeight="1" thickBot="1">
      <c r="B6" s="72" t="s">
        <v>36</v>
      </c>
      <c r="C6" s="58"/>
      <c r="D6" s="39"/>
      <c r="E6" s="57" t="s">
        <v>19</v>
      </c>
      <c r="F6" s="58"/>
      <c r="G6" s="61"/>
      <c r="H6" s="62"/>
      <c r="I6" s="57" t="s">
        <v>6</v>
      </c>
      <c r="J6" s="58"/>
      <c r="K6" s="61"/>
      <c r="L6" s="62"/>
      <c r="M6" s="62"/>
      <c r="N6" s="20" t="s">
        <v>8</v>
      </c>
      <c r="O6" s="57" t="s">
        <v>13</v>
      </c>
      <c r="P6" s="66"/>
      <c r="Q6" s="57" t="s">
        <v>47</v>
      </c>
      <c r="R6" s="66"/>
      <c r="S6" s="61"/>
      <c r="T6" s="69"/>
      <c r="U6" s="74"/>
      <c r="V6" s="65"/>
    </row>
    <row r="7" spans="1:23" ht="9" customHeight="1" thickBot="1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6"/>
      <c r="U7" s="6"/>
      <c r="V7" s="6"/>
    </row>
    <row r="8" spans="1:23" s="1" customFormat="1" ht="24.95" customHeight="1">
      <c r="B8" s="55" t="s">
        <v>9</v>
      </c>
      <c r="C8" s="53"/>
      <c r="D8" s="52" t="s">
        <v>42</v>
      </c>
      <c r="E8" s="54"/>
      <c r="F8" s="53"/>
      <c r="G8" s="52" t="s">
        <v>16</v>
      </c>
      <c r="H8" s="53"/>
      <c r="I8" s="52" t="s">
        <v>43</v>
      </c>
      <c r="J8" s="53"/>
      <c r="K8" s="52" t="s">
        <v>37</v>
      </c>
      <c r="L8" s="54"/>
      <c r="M8" s="54"/>
      <c r="N8" s="53"/>
      <c r="O8" s="22" t="s">
        <v>46</v>
      </c>
      <c r="P8" s="25"/>
      <c r="Q8" s="55" t="s">
        <v>48</v>
      </c>
      <c r="R8" s="54"/>
      <c r="S8" s="56"/>
      <c r="T8" s="55" t="s">
        <v>49</v>
      </c>
      <c r="U8" s="54"/>
      <c r="V8" s="56"/>
    </row>
    <row r="9" spans="1:23" s="1" customFormat="1" ht="39.950000000000003" customHeight="1" thickBot="1">
      <c r="B9" s="105"/>
      <c r="C9" s="43"/>
      <c r="D9" s="106"/>
      <c r="E9" s="107"/>
      <c r="F9" s="108"/>
      <c r="G9" s="42"/>
      <c r="H9" s="43"/>
      <c r="I9" s="36"/>
      <c r="J9" s="20" t="s">
        <v>21</v>
      </c>
      <c r="K9" s="20" t="s">
        <v>44</v>
      </c>
      <c r="L9" s="31"/>
      <c r="M9" s="20" t="s">
        <v>45</v>
      </c>
      <c r="N9" s="31"/>
      <c r="O9" s="21" t="s">
        <v>50</v>
      </c>
      <c r="P9" s="26"/>
      <c r="Q9" s="72" t="str">
        <f ca="1">IF(V13&lt;&gt;"",IF(COUNTIFS(V13:V32,"NG")&gt;0,"NG","OK"),"")</f>
        <v/>
      </c>
      <c r="R9" s="66"/>
      <c r="S9" s="109"/>
      <c r="T9" s="72"/>
      <c r="U9" s="66"/>
      <c r="V9" s="109"/>
    </row>
    <row r="10" spans="1:23" ht="8.1" customHeight="1" thickBot="1"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6"/>
      <c r="U10" s="6"/>
      <c r="V10" s="6"/>
    </row>
    <row r="11" spans="1:23" ht="24.95" customHeight="1">
      <c r="B11" s="70" t="s">
        <v>9</v>
      </c>
      <c r="C11" s="53"/>
      <c r="D11" s="71"/>
      <c r="E11" s="52" t="s">
        <v>10</v>
      </c>
      <c r="F11" s="54"/>
      <c r="G11" s="54"/>
      <c r="H11" s="53"/>
      <c r="I11" s="52" t="s">
        <v>16</v>
      </c>
      <c r="J11" s="54"/>
      <c r="K11" s="53"/>
      <c r="L11" s="71" t="s">
        <v>1</v>
      </c>
      <c r="M11" s="71"/>
      <c r="N11" s="71"/>
      <c r="O11" s="71"/>
      <c r="P11" s="71"/>
      <c r="Q11" s="71"/>
      <c r="R11" s="71"/>
      <c r="S11" s="71"/>
      <c r="T11" s="71"/>
      <c r="U11" s="71"/>
      <c r="V11" s="23" t="s">
        <v>12</v>
      </c>
    </row>
    <row r="12" spans="1:23" ht="24.95" customHeight="1">
      <c r="B12" s="16" t="s">
        <v>5</v>
      </c>
      <c r="C12" s="17" t="s">
        <v>18</v>
      </c>
      <c r="D12" s="18" t="s">
        <v>0</v>
      </c>
      <c r="E12" s="18" t="s">
        <v>22</v>
      </c>
      <c r="F12" s="18" t="s">
        <v>3</v>
      </c>
      <c r="G12" s="18" t="s">
        <v>4</v>
      </c>
      <c r="H12" s="18" t="s">
        <v>11</v>
      </c>
      <c r="I12" s="48" t="s">
        <v>16</v>
      </c>
      <c r="J12" s="49"/>
      <c r="K12" s="18" t="s">
        <v>2</v>
      </c>
      <c r="L12" s="30">
        <v>1</v>
      </c>
      <c r="M12" s="30">
        <v>2</v>
      </c>
      <c r="N12" s="30">
        <v>3</v>
      </c>
      <c r="O12" s="30">
        <v>4</v>
      </c>
      <c r="P12" s="30">
        <v>5</v>
      </c>
      <c r="Q12" s="30">
        <v>6</v>
      </c>
      <c r="R12" s="30">
        <v>7</v>
      </c>
      <c r="S12" s="30">
        <v>8</v>
      </c>
      <c r="T12" s="30">
        <v>9</v>
      </c>
      <c r="U12" s="30">
        <v>10</v>
      </c>
      <c r="V12" s="24"/>
    </row>
    <row r="13" spans="1:23" ht="24.95" customHeight="1">
      <c r="A13" s="63"/>
      <c r="B13" s="33"/>
      <c r="C13" s="34"/>
      <c r="D13" s="29"/>
      <c r="E13" s="30"/>
      <c r="F13" s="30"/>
      <c r="G13" s="30"/>
      <c r="H13" s="29"/>
      <c r="I13" s="44"/>
      <c r="J13" s="45"/>
      <c r="K13" s="29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19" t="str">
        <f ca="1">IF(L13="","",IF(OR(MAX(INDIRECT(ADDRESS(ROW(),12)&amp;":"&amp;ADDRESS(ROW(),COUNTA(L13:U13)+11)))&gt;E13+F13,MIN(INDIRECT(ADDRESS(ROW(),12)&amp;":"&amp;ADDRESS(ROW(),COUNTA(L13:U13)+11)))&lt;E13+G13),"NG","OK"))</f>
        <v/>
      </c>
    </row>
    <row r="14" spans="1:23" ht="24.95" customHeight="1">
      <c r="A14" s="63"/>
      <c r="B14" s="33"/>
      <c r="C14" s="34"/>
      <c r="D14" s="29"/>
      <c r="E14" s="30"/>
      <c r="F14" s="30"/>
      <c r="G14" s="30"/>
      <c r="H14" s="29"/>
      <c r="I14" s="44"/>
      <c r="J14" s="45"/>
      <c r="K14" s="29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19" t="str">
        <f t="shared" ref="V14:V32" ca="1" si="0">IF(L14="","",IF(OR(MAX(INDIRECT(ADDRESS(ROW(),12)&amp;":"&amp;ADDRESS(ROW(),COUNTA(L14:U14)+11)))&gt;E14+F14,MIN(INDIRECT(ADDRESS(ROW(),12)&amp;":"&amp;ADDRESS(ROW(),COUNTA(L14:U14)+11)))&lt;E14+G14),"NG","OK"))</f>
        <v/>
      </c>
    </row>
    <row r="15" spans="1:23" ht="24.95" customHeight="1">
      <c r="A15" s="63"/>
      <c r="B15" s="33"/>
      <c r="C15" s="34"/>
      <c r="D15" s="29"/>
      <c r="E15" s="30"/>
      <c r="F15" s="30"/>
      <c r="G15" s="30"/>
      <c r="H15" s="29"/>
      <c r="I15" s="44"/>
      <c r="J15" s="45"/>
      <c r="K15" s="29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19" t="str">
        <f t="shared" ca="1" si="0"/>
        <v/>
      </c>
    </row>
    <row r="16" spans="1:23" ht="24.95" customHeight="1">
      <c r="A16" s="63"/>
      <c r="B16" s="33"/>
      <c r="C16" s="34"/>
      <c r="D16" s="29"/>
      <c r="E16" s="30"/>
      <c r="F16" s="30"/>
      <c r="G16" s="30"/>
      <c r="H16" s="29"/>
      <c r="I16" s="44"/>
      <c r="J16" s="45"/>
      <c r="K16" s="29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19" t="str">
        <f t="shared" ca="1" si="0"/>
        <v/>
      </c>
    </row>
    <row r="17" spans="1:22" ht="24.95" customHeight="1">
      <c r="B17" s="33"/>
      <c r="C17" s="34"/>
      <c r="D17" s="29"/>
      <c r="E17" s="30"/>
      <c r="F17" s="30"/>
      <c r="G17" s="30"/>
      <c r="H17" s="29"/>
      <c r="I17" s="44"/>
      <c r="J17" s="45"/>
      <c r="K17" s="29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19" t="str">
        <f t="shared" ca="1" si="0"/>
        <v/>
      </c>
    </row>
    <row r="18" spans="1:22" ht="24.95" customHeight="1">
      <c r="B18" s="33"/>
      <c r="C18" s="34"/>
      <c r="D18" s="29"/>
      <c r="E18" s="30"/>
      <c r="F18" s="30"/>
      <c r="G18" s="30"/>
      <c r="H18" s="29"/>
      <c r="I18" s="44"/>
      <c r="J18" s="45"/>
      <c r="K18" s="29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19" t="str">
        <f t="shared" ca="1" si="0"/>
        <v/>
      </c>
    </row>
    <row r="19" spans="1:22" ht="24.95" customHeight="1">
      <c r="B19" s="33"/>
      <c r="C19" s="34"/>
      <c r="D19" s="29"/>
      <c r="E19" s="30"/>
      <c r="F19" s="30"/>
      <c r="G19" s="30"/>
      <c r="H19" s="29"/>
      <c r="I19" s="44"/>
      <c r="J19" s="45"/>
      <c r="K19" s="29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19" t="str">
        <f t="shared" ca="1" si="0"/>
        <v/>
      </c>
    </row>
    <row r="20" spans="1:22" ht="24.95" customHeight="1">
      <c r="B20" s="33"/>
      <c r="C20" s="34"/>
      <c r="D20" s="29"/>
      <c r="E20" s="30"/>
      <c r="F20" s="30"/>
      <c r="G20" s="30"/>
      <c r="H20" s="29"/>
      <c r="I20" s="44"/>
      <c r="J20" s="45"/>
      <c r="K20" s="29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19" t="str">
        <f t="shared" ca="1" si="0"/>
        <v/>
      </c>
    </row>
    <row r="21" spans="1:22" ht="24.95" customHeight="1">
      <c r="B21" s="33"/>
      <c r="C21" s="34"/>
      <c r="D21" s="29"/>
      <c r="E21" s="30"/>
      <c r="F21" s="30"/>
      <c r="G21" s="30"/>
      <c r="H21" s="29"/>
      <c r="I21" s="44"/>
      <c r="J21" s="45"/>
      <c r="K21" s="29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19" t="str">
        <f t="shared" ca="1" si="0"/>
        <v/>
      </c>
    </row>
    <row r="22" spans="1:22" ht="24.95" customHeight="1">
      <c r="B22" s="33"/>
      <c r="C22" s="34"/>
      <c r="D22" s="29"/>
      <c r="E22" s="30"/>
      <c r="F22" s="30"/>
      <c r="G22" s="30"/>
      <c r="H22" s="29"/>
      <c r="I22" s="44"/>
      <c r="J22" s="45"/>
      <c r="K22" s="29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19" t="str">
        <f t="shared" ca="1" si="0"/>
        <v/>
      </c>
    </row>
    <row r="23" spans="1:22" ht="24.95" customHeight="1">
      <c r="B23" s="33"/>
      <c r="C23" s="34"/>
      <c r="D23" s="29"/>
      <c r="E23" s="30"/>
      <c r="F23" s="30"/>
      <c r="G23" s="30"/>
      <c r="H23" s="29"/>
      <c r="I23" s="44"/>
      <c r="J23" s="45"/>
      <c r="K23" s="29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19" t="str">
        <f t="shared" ca="1" si="0"/>
        <v/>
      </c>
    </row>
    <row r="24" spans="1:22" ht="24.95" customHeight="1">
      <c r="B24" s="33"/>
      <c r="C24" s="34"/>
      <c r="D24" s="29"/>
      <c r="E24" s="30"/>
      <c r="F24" s="30"/>
      <c r="G24" s="30"/>
      <c r="H24" s="29"/>
      <c r="I24" s="44"/>
      <c r="J24" s="45"/>
      <c r="K24" s="29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19" t="str">
        <f t="shared" ca="1" si="0"/>
        <v/>
      </c>
    </row>
    <row r="25" spans="1:22" ht="24.95" customHeight="1">
      <c r="A25" s="8"/>
      <c r="B25" s="34"/>
      <c r="C25" s="37"/>
      <c r="D25" s="29"/>
      <c r="E25" s="30"/>
      <c r="F25" s="30"/>
      <c r="G25" s="30"/>
      <c r="H25" s="29"/>
      <c r="I25" s="44"/>
      <c r="J25" s="45"/>
      <c r="K25" s="29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19" t="str">
        <f t="shared" ca="1" si="0"/>
        <v/>
      </c>
    </row>
    <row r="26" spans="1:22" ht="24.95" customHeight="1">
      <c r="B26" s="33"/>
      <c r="C26" s="34"/>
      <c r="D26" s="29"/>
      <c r="E26" s="30"/>
      <c r="F26" s="30"/>
      <c r="G26" s="30"/>
      <c r="H26" s="29"/>
      <c r="I26" s="44"/>
      <c r="J26" s="45"/>
      <c r="K26" s="29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19" t="str">
        <f t="shared" ca="1" si="0"/>
        <v/>
      </c>
    </row>
    <row r="27" spans="1:22" ht="24.95" customHeight="1">
      <c r="B27" s="33"/>
      <c r="C27" s="34"/>
      <c r="D27" s="29"/>
      <c r="E27" s="30"/>
      <c r="F27" s="30"/>
      <c r="G27" s="30"/>
      <c r="H27" s="29"/>
      <c r="I27" s="44"/>
      <c r="J27" s="45"/>
      <c r="K27" s="29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19" t="str">
        <f t="shared" ca="1" si="0"/>
        <v/>
      </c>
    </row>
    <row r="28" spans="1:22" ht="24.95" customHeight="1">
      <c r="B28" s="33"/>
      <c r="C28" s="34"/>
      <c r="D28" s="29"/>
      <c r="E28" s="30"/>
      <c r="F28" s="30"/>
      <c r="G28" s="30"/>
      <c r="H28" s="29"/>
      <c r="I28" s="44"/>
      <c r="J28" s="45"/>
      <c r="K28" s="29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19" t="str">
        <f t="shared" ca="1" si="0"/>
        <v/>
      </c>
    </row>
    <row r="29" spans="1:22" ht="24.95" customHeight="1">
      <c r="B29" s="33"/>
      <c r="C29" s="34"/>
      <c r="D29" s="29"/>
      <c r="E29" s="30"/>
      <c r="F29" s="30"/>
      <c r="G29" s="30"/>
      <c r="H29" s="29"/>
      <c r="I29" s="44"/>
      <c r="J29" s="45"/>
      <c r="K29" s="29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19" t="str">
        <f t="shared" ca="1" si="0"/>
        <v/>
      </c>
    </row>
    <row r="30" spans="1:22" ht="24.95" customHeight="1">
      <c r="B30" s="33"/>
      <c r="C30" s="34"/>
      <c r="D30" s="29"/>
      <c r="E30" s="30"/>
      <c r="F30" s="30"/>
      <c r="G30" s="30"/>
      <c r="H30" s="29"/>
      <c r="I30" s="44"/>
      <c r="J30" s="45"/>
      <c r="K30" s="29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19" t="str">
        <f t="shared" ca="1" si="0"/>
        <v/>
      </c>
    </row>
    <row r="31" spans="1:22" ht="24.95" customHeight="1">
      <c r="B31" s="33"/>
      <c r="C31" s="34"/>
      <c r="D31" s="29"/>
      <c r="E31" s="30"/>
      <c r="F31" s="30"/>
      <c r="G31" s="30"/>
      <c r="H31" s="29"/>
      <c r="I31" s="44"/>
      <c r="J31" s="45"/>
      <c r="K31" s="29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19" t="str">
        <f t="shared" ca="1" si="0"/>
        <v/>
      </c>
    </row>
    <row r="32" spans="1:22" ht="24.95" customHeight="1" thickBot="1">
      <c r="B32" s="35"/>
      <c r="C32" s="38"/>
      <c r="D32" s="31"/>
      <c r="E32" s="32"/>
      <c r="F32" s="32"/>
      <c r="G32" s="32"/>
      <c r="H32" s="31"/>
      <c r="I32" s="42"/>
      <c r="J32" s="43"/>
      <c r="K32" s="3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21" t="str">
        <f t="shared" ca="1" si="0"/>
        <v/>
      </c>
    </row>
    <row r="33" spans="2:22" ht="9" customHeight="1" thickBot="1"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6"/>
      <c r="U33" s="6"/>
      <c r="V33" s="6"/>
    </row>
    <row r="34" spans="2:22" ht="15" customHeight="1">
      <c r="B34" s="75" t="s">
        <v>23</v>
      </c>
      <c r="C34" s="76"/>
      <c r="D34" s="87" t="s">
        <v>24</v>
      </c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9"/>
    </row>
    <row r="35" spans="2:22" ht="15" customHeight="1">
      <c r="B35" s="77"/>
      <c r="C35" s="78"/>
      <c r="D35" s="90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2"/>
    </row>
    <row r="36" spans="2:22" ht="15" customHeight="1" thickBot="1">
      <c r="B36" s="79"/>
      <c r="C36" s="80"/>
      <c r="D36" s="93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5"/>
    </row>
    <row r="37" spans="2:22">
      <c r="B37" s="81" t="s">
        <v>14</v>
      </c>
      <c r="C37" s="82"/>
      <c r="D37" s="96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8"/>
    </row>
    <row r="38" spans="2:22">
      <c r="B38" s="83"/>
      <c r="C38" s="84"/>
      <c r="D38" s="99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1"/>
    </row>
    <row r="39" spans="2:22" ht="16.5" thickBot="1">
      <c r="B39" s="85"/>
      <c r="C39" s="86"/>
      <c r="D39" s="102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4"/>
    </row>
  </sheetData>
  <mergeCells count="64">
    <mergeCell ref="B34:C36"/>
    <mergeCell ref="B37:C39"/>
    <mergeCell ref="D34:V36"/>
    <mergeCell ref="D37:V39"/>
    <mergeCell ref="B9:C9"/>
    <mergeCell ref="D9:F9"/>
    <mergeCell ref="G9:H9"/>
    <mergeCell ref="Q9:S9"/>
    <mergeCell ref="T9:V9"/>
    <mergeCell ref="L11:U11"/>
    <mergeCell ref="I16:J16"/>
    <mergeCell ref="I17:J17"/>
    <mergeCell ref="I18:J18"/>
    <mergeCell ref="I19:J19"/>
    <mergeCell ref="I20:J20"/>
    <mergeCell ref="I21:J21"/>
    <mergeCell ref="A13:A16"/>
    <mergeCell ref="E11:H11"/>
    <mergeCell ref="I11:K11"/>
    <mergeCell ref="V5:V6"/>
    <mergeCell ref="O5:P5"/>
    <mergeCell ref="O6:P6"/>
    <mergeCell ref="Q5:R5"/>
    <mergeCell ref="Q6:R6"/>
    <mergeCell ref="S5:T5"/>
    <mergeCell ref="S6:T6"/>
    <mergeCell ref="B11:D11"/>
    <mergeCell ref="B6:C6"/>
    <mergeCell ref="B8:C8"/>
    <mergeCell ref="D8:F8"/>
    <mergeCell ref="U5:U6"/>
    <mergeCell ref="E5:F5"/>
    <mergeCell ref="C1:H2"/>
    <mergeCell ref="I1:N3"/>
    <mergeCell ref="I8:J8"/>
    <mergeCell ref="U3:V3"/>
    <mergeCell ref="G8:H8"/>
    <mergeCell ref="K8:N8"/>
    <mergeCell ref="Q8:S8"/>
    <mergeCell ref="T8:V8"/>
    <mergeCell ref="B5:C5"/>
    <mergeCell ref="E6:F6"/>
    <mergeCell ref="G5:H5"/>
    <mergeCell ref="G6:H6"/>
    <mergeCell ref="I5:J5"/>
    <mergeCell ref="I6:J6"/>
    <mergeCell ref="K5:M5"/>
    <mergeCell ref="K6:M6"/>
    <mergeCell ref="R3:S3"/>
    <mergeCell ref="I12:J12"/>
    <mergeCell ref="I13:J13"/>
    <mergeCell ref="I14:J14"/>
    <mergeCell ref="I15:J15"/>
    <mergeCell ref="I22:J22"/>
    <mergeCell ref="I23:J23"/>
    <mergeCell ref="I24:J24"/>
    <mergeCell ref="I25:J25"/>
    <mergeCell ref="I26:J26"/>
    <mergeCell ref="I32:J32"/>
    <mergeCell ref="I27:J27"/>
    <mergeCell ref="I28:J28"/>
    <mergeCell ref="I29:J29"/>
    <mergeCell ref="I30:J30"/>
    <mergeCell ref="I31:J31"/>
  </mergeCells>
  <phoneticPr fontId="2" type="noConversion"/>
  <conditionalFormatting sqref="V13:V32">
    <cfRule type="containsText" dxfId="21" priority="22" operator="containsText" text="NG">
      <formula>NOT(ISERROR(SEARCH("NG",V13)))</formula>
    </cfRule>
  </conditionalFormatting>
  <conditionalFormatting sqref="Q9:S9">
    <cfRule type="containsText" dxfId="20" priority="21" operator="containsText" text="NG">
      <formula>NOT(ISERROR(SEARCH("NG",Q9)))</formula>
    </cfRule>
  </conditionalFormatting>
  <conditionalFormatting sqref="L13:U13">
    <cfRule type="cellIs" dxfId="19" priority="20" operator="between">
      <formula>$E13+$F13</formula>
      <formula>$E13+$G13</formula>
    </cfRule>
  </conditionalFormatting>
  <conditionalFormatting sqref="L14:U14">
    <cfRule type="cellIs" dxfId="18" priority="19" operator="between">
      <formula>$E14+$F14</formula>
      <formula>$E14+$G14</formula>
    </cfRule>
  </conditionalFormatting>
  <conditionalFormatting sqref="L15:U15">
    <cfRule type="cellIs" dxfId="17" priority="18" operator="between">
      <formula>$E15+$F15</formula>
      <formula>$E15+$G15</formula>
    </cfRule>
  </conditionalFormatting>
  <conditionalFormatting sqref="L16:U16">
    <cfRule type="cellIs" dxfId="16" priority="17" operator="between">
      <formula>$E16+$F16</formula>
      <formula>$E16+$G16</formula>
    </cfRule>
  </conditionalFormatting>
  <conditionalFormatting sqref="L17:U17">
    <cfRule type="cellIs" dxfId="15" priority="16" operator="between">
      <formula>$E17+$F17</formula>
      <formula>$E17+$G17</formula>
    </cfRule>
  </conditionalFormatting>
  <conditionalFormatting sqref="L18:U18">
    <cfRule type="cellIs" dxfId="14" priority="15" operator="between">
      <formula>$E18+$F18</formula>
      <formula>$E18+$G18</formula>
    </cfRule>
  </conditionalFormatting>
  <conditionalFormatting sqref="L19:U19">
    <cfRule type="cellIs" dxfId="13" priority="14" operator="between">
      <formula>$E19+$F19</formula>
      <formula>$E19+$G19</formula>
    </cfRule>
  </conditionalFormatting>
  <conditionalFormatting sqref="L20:U20">
    <cfRule type="cellIs" dxfId="12" priority="13" operator="between">
      <formula>$E20+$F20</formula>
      <formula>$E20+$G20</formula>
    </cfRule>
  </conditionalFormatting>
  <conditionalFormatting sqref="L21:U21">
    <cfRule type="cellIs" dxfId="11" priority="12" operator="between">
      <formula>$E21+$F21</formula>
      <formula>$E21+$G21</formula>
    </cfRule>
  </conditionalFormatting>
  <conditionalFormatting sqref="L22:U22">
    <cfRule type="cellIs" dxfId="10" priority="11" operator="between">
      <formula>$E22+$F22</formula>
      <formula>$E22+$G22</formula>
    </cfRule>
  </conditionalFormatting>
  <conditionalFormatting sqref="L23:U23">
    <cfRule type="cellIs" dxfId="9" priority="10" operator="between">
      <formula>$E23+$F23</formula>
      <formula>$E23+$G23</formula>
    </cfRule>
  </conditionalFormatting>
  <conditionalFormatting sqref="L24:U24">
    <cfRule type="cellIs" dxfId="8" priority="9" operator="between">
      <formula>$E24+$F24</formula>
      <formula>$E24+$G24</formula>
    </cfRule>
  </conditionalFormatting>
  <conditionalFormatting sqref="L25:U25">
    <cfRule type="cellIs" dxfId="7" priority="8" operator="between">
      <formula>$E25+$F25</formula>
      <formula>$E25+$G25</formula>
    </cfRule>
  </conditionalFormatting>
  <conditionalFormatting sqref="L26:U26">
    <cfRule type="cellIs" dxfId="6" priority="7" operator="between">
      <formula>$E26+$F26</formula>
      <formula>$E26+$G26</formula>
    </cfRule>
  </conditionalFormatting>
  <conditionalFormatting sqref="L27:U27">
    <cfRule type="cellIs" dxfId="5" priority="6" operator="between">
      <formula>$E27+$F27</formula>
      <formula>$E27+$G27</formula>
    </cfRule>
  </conditionalFormatting>
  <conditionalFormatting sqref="L28:U28">
    <cfRule type="cellIs" dxfId="4" priority="5" operator="between">
      <formula>$E28+$F28</formula>
      <formula>$E28+$G28</formula>
    </cfRule>
  </conditionalFormatting>
  <conditionalFormatting sqref="L29:U29">
    <cfRule type="cellIs" dxfId="3" priority="4" operator="between">
      <formula>$E29+$F29</formula>
      <formula>$E29+$G29</formula>
    </cfRule>
  </conditionalFormatting>
  <conditionalFormatting sqref="L31:U31">
    <cfRule type="cellIs" dxfId="2" priority="3" operator="between">
      <formula>$E31+$F31</formula>
      <formula>$E31+$G31</formula>
    </cfRule>
  </conditionalFormatting>
  <conditionalFormatting sqref="L30:U30">
    <cfRule type="cellIs" dxfId="1" priority="2" operator="between">
      <formula>$E30+$F30</formula>
      <formula>$E30+$G30</formula>
    </cfRule>
  </conditionalFormatting>
  <conditionalFormatting sqref="L32:U32">
    <cfRule type="cellIs" dxfId="0" priority="1" operator="between">
      <formula>$E32+$F32</formula>
      <formula>$E32+$G32</formula>
    </cfRule>
  </conditionalFormatting>
  <pageMargins left="0.23622047244094491" right="0.23622047244094491" top="0.35433070866141736" bottom="0.35433070866141736" header="0.31496062992125984" footer="0.31496062992125984"/>
  <pageSetup paperSize="9" scale="70" orientation="landscape" r:id="rId1"/>
  <headerFooter>
    <oddFooter>&amp;R製表人：金無琴  時間：2024/05/14 17:02:00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pageSetUpPr fitToPage="1"/>
  </sheetPr>
  <dimension ref="B1:AS52"/>
  <sheetViews>
    <sheetView view="pageBreakPreview" zoomScale="50" zoomScaleNormal="85" zoomScaleSheetLayoutView="50" workbookViewId="0">
      <selection activeCell="B1" sqref="B1:V1"/>
    </sheetView>
  </sheetViews>
  <sheetFormatPr defaultColWidth="10.28515625" defaultRowHeight="15.75"/>
  <cols>
    <col min="1" max="1" width="5.140625" style="12" customWidth="1"/>
    <col min="2" max="2" width="11.85546875" style="12" customWidth="1"/>
    <col min="3" max="3" width="26.42578125" style="12" customWidth="1"/>
    <col min="4" max="4" width="13.28515625" style="12" customWidth="1"/>
    <col min="5" max="5" width="11" style="12" customWidth="1"/>
    <col min="6" max="7" width="11" style="12" bestFit="1" customWidth="1"/>
    <col min="8" max="44" width="11" style="12" customWidth="1"/>
    <col min="45" max="16384" width="10.28515625" style="12"/>
  </cols>
  <sheetData>
    <row r="1" spans="2:45" ht="55.5" customHeight="1">
      <c r="B1" s="110" t="e">
        <f>'MeasureReport-1.1'!K6:M6</f>
        <v>#VALUE!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1" t="s">
        <v>35</v>
      </c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</row>
    <row r="2" spans="2:45" ht="28.5" customHeight="1" thickBot="1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2:45" ht="33" customHeight="1">
      <c r="B3" s="112" t="s">
        <v>26</v>
      </c>
      <c r="C3" s="115" t="s">
        <v>34</v>
      </c>
      <c r="D3" s="118" t="s">
        <v>25</v>
      </c>
      <c r="E3" s="121"/>
      <c r="F3" s="122"/>
      <c r="G3" s="125"/>
      <c r="H3" s="126"/>
      <c r="I3" s="121"/>
      <c r="J3" s="122"/>
      <c r="K3" s="125"/>
      <c r="L3" s="126"/>
      <c r="M3" s="121"/>
      <c r="N3" s="122"/>
      <c r="O3" s="125"/>
      <c r="P3" s="126"/>
      <c r="Q3" s="121"/>
      <c r="R3" s="122"/>
      <c r="S3" s="125"/>
      <c r="T3" s="126"/>
      <c r="U3" s="121"/>
      <c r="V3" s="122"/>
      <c r="W3" s="125"/>
      <c r="X3" s="126"/>
      <c r="Y3" s="121"/>
      <c r="Z3" s="122"/>
      <c r="AA3" s="125"/>
      <c r="AB3" s="126"/>
      <c r="AC3" s="121"/>
      <c r="AD3" s="122"/>
      <c r="AE3" s="125"/>
      <c r="AF3" s="126"/>
      <c r="AG3" s="121"/>
      <c r="AH3" s="122"/>
      <c r="AI3" s="125"/>
      <c r="AJ3" s="126"/>
      <c r="AK3" s="121"/>
      <c r="AL3" s="122"/>
      <c r="AM3" s="125"/>
      <c r="AN3" s="126"/>
      <c r="AO3" s="121"/>
      <c r="AP3" s="122"/>
      <c r="AQ3" s="125"/>
      <c r="AR3" s="126"/>
      <c r="AS3" s="14"/>
    </row>
    <row r="4" spans="2:45" ht="33" customHeight="1">
      <c r="B4" s="113"/>
      <c r="C4" s="116"/>
      <c r="D4" s="119"/>
      <c r="E4" s="123"/>
      <c r="F4" s="124"/>
      <c r="G4" s="127"/>
      <c r="H4" s="128"/>
      <c r="I4" s="123"/>
      <c r="J4" s="124"/>
      <c r="K4" s="127"/>
      <c r="L4" s="128"/>
      <c r="M4" s="123"/>
      <c r="N4" s="124"/>
      <c r="O4" s="127"/>
      <c r="P4" s="128"/>
      <c r="Q4" s="123"/>
      <c r="R4" s="124"/>
      <c r="S4" s="127"/>
      <c r="T4" s="128"/>
      <c r="U4" s="123"/>
      <c r="V4" s="124"/>
      <c r="W4" s="127"/>
      <c r="X4" s="128"/>
      <c r="Y4" s="123"/>
      <c r="Z4" s="124"/>
      <c r="AA4" s="127"/>
      <c r="AB4" s="128"/>
      <c r="AC4" s="123"/>
      <c r="AD4" s="124"/>
      <c r="AE4" s="127"/>
      <c r="AF4" s="128"/>
      <c r="AG4" s="123"/>
      <c r="AH4" s="124"/>
      <c r="AI4" s="127"/>
      <c r="AJ4" s="128"/>
      <c r="AK4" s="123"/>
      <c r="AL4" s="124"/>
      <c r="AM4" s="127"/>
      <c r="AN4" s="128"/>
      <c r="AO4" s="123"/>
      <c r="AP4" s="124"/>
      <c r="AQ4" s="127"/>
      <c r="AR4" s="128"/>
    </row>
    <row r="5" spans="2:45" ht="320.25" customHeight="1">
      <c r="B5" s="114"/>
      <c r="C5" s="117"/>
      <c r="D5" s="120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29"/>
      <c r="AA5" s="129"/>
      <c r="AB5" s="129"/>
      <c r="AC5" s="129"/>
      <c r="AD5" s="129"/>
      <c r="AE5" s="129"/>
      <c r="AF5" s="129"/>
      <c r="AG5" s="129"/>
      <c r="AH5" s="129"/>
      <c r="AI5" s="129"/>
      <c r="AJ5" s="129"/>
      <c r="AK5" s="129"/>
      <c r="AL5" s="129"/>
      <c r="AM5" s="129"/>
      <c r="AN5" s="129"/>
      <c r="AO5" s="129"/>
      <c r="AP5" s="132"/>
      <c r="AQ5" s="132"/>
      <c r="AR5" s="129"/>
    </row>
    <row r="6" spans="2:45" ht="33" customHeight="1">
      <c r="B6" s="133" t="s">
        <v>28</v>
      </c>
      <c r="C6" s="135" t="s">
        <v>27</v>
      </c>
      <c r="D6" s="120" t="s">
        <v>29</v>
      </c>
      <c r="E6" s="139"/>
      <c r="F6" s="140"/>
      <c r="G6" s="141"/>
      <c r="H6" s="142"/>
      <c r="I6" s="139"/>
      <c r="J6" s="140"/>
      <c r="K6" s="141"/>
      <c r="L6" s="142"/>
      <c r="M6" s="139"/>
      <c r="N6" s="140"/>
      <c r="O6" s="141"/>
      <c r="P6" s="142"/>
      <c r="Q6" s="139"/>
      <c r="R6" s="140"/>
      <c r="S6" s="141"/>
      <c r="T6" s="142"/>
      <c r="U6" s="139"/>
      <c r="V6" s="140"/>
      <c r="W6" s="141"/>
      <c r="X6" s="142"/>
      <c r="Y6" s="139"/>
      <c r="Z6" s="140"/>
      <c r="AA6" s="141"/>
      <c r="AB6" s="142"/>
      <c r="AC6" s="139"/>
      <c r="AD6" s="140"/>
      <c r="AE6" s="141"/>
      <c r="AF6" s="142"/>
      <c r="AG6" s="139"/>
      <c r="AH6" s="140"/>
      <c r="AI6" s="141"/>
      <c r="AJ6" s="142"/>
      <c r="AK6" s="139"/>
      <c r="AL6" s="140"/>
      <c r="AM6" s="141"/>
      <c r="AN6" s="142"/>
      <c r="AO6" s="139"/>
      <c r="AP6" s="140"/>
      <c r="AQ6" s="141"/>
      <c r="AR6" s="142"/>
    </row>
    <row r="7" spans="2:45" ht="33" customHeight="1">
      <c r="B7" s="113"/>
      <c r="C7" s="116"/>
      <c r="D7" s="137"/>
      <c r="E7" s="123"/>
      <c r="F7" s="124"/>
      <c r="G7" s="127"/>
      <c r="H7" s="128"/>
      <c r="I7" s="123"/>
      <c r="J7" s="124"/>
      <c r="K7" s="127"/>
      <c r="L7" s="128"/>
      <c r="M7" s="123"/>
      <c r="N7" s="124"/>
      <c r="O7" s="127"/>
      <c r="P7" s="128"/>
      <c r="Q7" s="123"/>
      <c r="R7" s="124"/>
      <c r="S7" s="127"/>
      <c r="T7" s="128"/>
      <c r="U7" s="123"/>
      <c r="V7" s="124"/>
      <c r="W7" s="127"/>
      <c r="X7" s="128"/>
      <c r="Y7" s="123"/>
      <c r="Z7" s="124"/>
      <c r="AA7" s="127"/>
      <c r="AB7" s="128"/>
      <c r="AC7" s="123"/>
      <c r="AD7" s="124"/>
      <c r="AE7" s="127"/>
      <c r="AF7" s="128"/>
      <c r="AG7" s="123"/>
      <c r="AH7" s="124"/>
      <c r="AI7" s="127"/>
      <c r="AJ7" s="128"/>
      <c r="AK7" s="123"/>
      <c r="AL7" s="124"/>
      <c r="AM7" s="127"/>
      <c r="AN7" s="128"/>
      <c r="AO7" s="123"/>
      <c r="AP7" s="124"/>
      <c r="AQ7" s="127"/>
      <c r="AR7" s="128"/>
    </row>
    <row r="8" spans="2:45" ht="326.25" customHeight="1" thickBot="1">
      <c r="B8" s="134"/>
      <c r="C8" s="136"/>
      <c r="D8" s="138"/>
      <c r="E8" s="143"/>
      <c r="F8" s="143"/>
      <c r="G8" s="143"/>
      <c r="H8" s="143"/>
      <c r="I8" s="143"/>
      <c r="J8" s="143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3"/>
      <c r="AO8" s="143"/>
      <c r="AP8" s="144"/>
      <c r="AQ8" s="144"/>
      <c r="AR8" s="145"/>
    </row>
    <row r="9" spans="2:45" ht="50.1" customHeight="1" thickBot="1"/>
    <row r="10" spans="2:45" ht="33" customHeight="1">
      <c r="B10" s="112" t="s">
        <v>30</v>
      </c>
      <c r="C10" s="115" t="s">
        <v>31</v>
      </c>
      <c r="D10" s="130" t="s">
        <v>32</v>
      </c>
      <c r="E10" s="121"/>
      <c r="F10" s="122"/>
      <c r="G10" s="125"/>
      <c r="H10" s="126"/>
      <c r="I10" s="121"/>
      <c r="J10" s="122"/>
      <c r="K10" s="125"/>
      <c r="L10" s="126"/>
      <c r="M10" s="121"/>
      <c r="N10" s="122"/>
      <c r="O10" s="125"/>
      <c r="P10" s="126"/>
      <c r="Q10" s="121"/>
      <c r="R10" s="122"/>
      <c r="S10" s="125"/>
      <c r="T10" s="126"/>
      <c r="U10" s="121"/>
      <c r="V10" s="122"/>
      <c r="W10" s="125"/>
      <c r="X10" s="126"/>
      <c r="Y10" s="121"/>
      <c r="Z10" s="122"/>
      <c r="AA10" s="125"/>
      <c r="AB10" s="126"/>
      <c r="AC10" s="121"/>
      <c r="AD10" s="122"/>
      <c r="AE10" s="125"/>
      <c r="AF10" s="126"/>
      <c r="AG10" s="121"/>
      <c r="AH10" s="122"/>
      <c r="AI10" s="125"/>
      <c r="AJ10" s="126"/>
      <c r="AK10" s="121"/>
      <c r="AL10" s="122"/>
      <c r="AM10" s="125"/>
      <c r="AN10" s="126"/>
      <c r="AO10" s="121"/>
      <c r="AP10" s="122"/>
      <c r="AQ10" s="125"/>
      <c r="AR10" s="126"/>
    </row>
    <row r="11" spans="2:45" ht="33" customHeight="1">
      <c r="B11" s="113"/>
      <c r="C11" s="116"/>
      <c r="D11" s="120"/>
      <c r="E11" s="123"/>
      <c r="F11" s="124"/>
      <c r="G11" s="127"/>
      <c r="H11" s="128"/>
      <c r="I11" s="123"/>
      <c r="J11" s="124"/>
      <c r="K11" s="127"/>
      <c r="L11" s="128"/>
      <c r="M11" s="123"/>
      <c r="N11" s="124"/>
      <c r="O11" s="127"/>
      <c r="P11" s="128"/>
      <c r="Q11" s="123"/>
      <c r="R11" s="124"/>
      <c r="S11" s="127"/>
      <c r="T11" s="128"/>
      <c r="U11" s="123"/>
      <c r="V11" s="124"/>
      <c r="W11" s="127"/>
      <c r="X11" s="128"/>
      <c r="Y11" s="123"/>
      <c r="Z11" s="124"/>
      <c r="AA11" s="127"/>
      <c r="AB11" s="128"/>
      <c r="AC11" s="123"/>
      <c r="AD11" s="124"/>
      <c r="AE11" s="127"/>
      <c r="AF11" s="128"/>
      <c r="AG11" s="123"/>
      <c r="AH11" s="124"/>
      <c r="AI11" s="127"/>
      <c r="AJ11" s="128"/>
      <c r="AK11" s="123"/>
      <c r="AL11" s="124"/>
      <c r="AM11" s="127"/>
      <c r="AN11" s="128"/>
      <c r="AO11" s="123"/>
      <c r="AP11" s="124"/>
      <c r="AQ11" s="127"/>
      <c r="AR11" s="128"/>
    </row>
    <row r="12" spans="2:45" ht="324" customHeight="1">
      <c r="B12" s="114"/>
      <c r="C12" s="117"/>
      <c r="D12" s="131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32"/>
      <c r="AQ12" s="132"/>
      <c r="AR12" s="129"/>
    </row>
    <row r="13" spans="2:45" ht="33" customHeight="1">
      <c r="B13" s="133" t="s">
        <v>33</v>
      </c>
      <c r="C13" s="135" t="s">
        <v>27</v>
      </c>
      <c r="D13" s="131" t="s">
        <v>32</v>
      </c>
      <c r="E13" s="139"/>
      <c r="F13" s="140"/>
      <c r="G13" s="141"/>
      <c r="H13" s="142"/>
      <c r="I13" s="139"/>
      <c r="J13" s="140"/>
      <c r="K13" s="141"/>
      <c r="L13" s="142"/>
      <c r="M13" s="139"/>
      <c r="N13" s="140"/>
      <c r="O13" s="141"/>
      <c r="P13" s="142"/>
      <c r="Q13" s="139"/>
      <c r="R13" s="140"/>
      <c r="S13" s="141"/>
      <c r="T13" s="142"/>
      <c r="U13" s="139"/>
      <c r="V13" s="140"/>
      <c r="W13" s="141"/>
      <c r="X13" s="142"/>
      <c r="Y13" s="139"/>
      <c r="Z13" s="140"/>
      <c r="AA13" s="141"/>
      <c r="AB13" s="142"/>
      <c r="AC13" s="139"/>
      <c r="AD13" s="140"/>
      <c r="AE13" s="141"/>
      <c r="AF13" s="142"/>
      <c r="AG13" s="139"/>
      <c r="AH13" s="140"/>
      <c r="AI13" s="141"/>
      <c r="AJ13" s="142"/>
      <c r="AK13" s="139"/>
      <c r="AL13" s="140"/>
      <c r="AM13" s="141"/>
      <c r="AN13" s="142"/>
      <c r="AO13" s="139"/>
      <c r="AP13" s="140"/>
      <c r="AQ13" s="141"/>
      <c r="AR13" s="142"/>
    </row>
    <row r="14" spans="2:45" ht="33" customHeight="1">
      <c r="B14" s="113"/>
      <c r="C14" s="116"/>
      <c r="D14" s="137"/>
      <c r="E14" s="123"/>
      <c r="F14" s="124"/>
      <c r="G14" s="127"/>
      <c r="H14" s="128"/>
      <c r="I14" s="123"/>
      <c r="J14" s="124"/>
      <c r="K14" s="127"/>
      <c r="L14" s="128"/>
      <c r="M14" s="123"/>
      <c r="N14" s="124"/>
      <c r="O14" s="127"/>
      <c r="P14" s="128"/>
      <c r="Q14" s="123"/>
      <c r="R14" s="124"/>
      <c r="S14" s="127"/>
      <c r="T14" s="128"/>
      <c r="U14" s="123"/>
      <c r="V14" s="124"/>
      <c r="W14" s="127"/>
      <c r="X14" s="128"/>
      <c r="Y14" s="123"/>
      <c r="Z14" s="124"/>
      <c r="AA14" s="127"/>
      <c r="AB14" s="128"/>
      <c r="AC14" s="123"/>
      <c r="AD14" s="124"/>
      <c r="AE14" s="127"/>
      <c r="AF14" s="128"/>
      <c r="AG14" s="123"/>
      <c r="AH14" s="124"/>
      <c r="AI14" s="127"/>
      <c r="AJ14" s="128"/>
      <c r="AK14" s="123"/>
      <c r="AL14" s="124"/>
      <c r="AM14" s="127"/>
      <c r="AN14" s="128"/>
      <c r="AO14" s="123"/>
      <c r="AP14" s="124"/>
      <c r="AQ14" s="127"/>
      <c r="AR14" s="128"/>
    </row>
    <row r="15" spans="2:45" ht="324.75" customHeight="1" thickBot="1">
      <c r="B15" s="134"/>
      <c r="C15" s="136"/>
      <c r="D15" s="138"/>
      <c r="E15" s="143"/>
      <c r="F15" s="143"/>
      <c r="G15" s="143"/>
      <c r="H15" s="143"/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4"/>
      <c r="AQ15" s="144"/>
      <c r="AR15" s="145"/>
    </row>
    <row r="16" spans="2:45" ht="15.75" hidden="1" customHeight="1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</row>
    <row r="17" spans="2:44" ht="15.75" hidden="1" customHeight="1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 ht="15.75" hidden="1" customHeight="1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</row>
    <row r="19" spans="2:44" ht="15.75" hidden="1" customHeight="1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</row>
    <row r="20" spans="2:44" ht="15.75" hidden="1" customHeight="1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</row>
    <row r="21" spans="2:44" ht="15.75" hidden="1" customHeight="1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</row>
    <row r="22" spans="2:44" ht="15.75" hidden="1" customHeight="1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 ht="15.75" hidden="1" customHeight="1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</row>
    <row r="24" spans="2:44" ht="15.75" hidden="1" customHeight="1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</row>
    <row r="25" spans="2:44" ht="15.75" hidden="1" customHeight="1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</row>
    <row r="26" spans="2:44" ht="15.75" hidden="1" customHeight="1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</row>
    <row r="27" spans="2:44" ht="15.75" hidden="1" customHeight="1"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</row>
    <row r="28" spans="2:44" ht="15.75" hidden="1" customHeight="1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</row>
    <row r="29" spans="2:44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</row>
    <row r="30" spans="2:44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</row>
    <row r="31" spans="2:44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</row>
    <row r="32" spans="2:44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</row>
    <row r="33" spans="2:44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</row>
    <row r="35" spans="2:44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</row>
    <row r="36" spans="2:44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</row>
    <row r="37" spans="2:44"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</row>
    <row r="38" spans="2:44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</row>
    <row r="39" spans="2:44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</row>
    <row r="40" spans="2:44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</row>
    <row r="41" spans="2:44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</row>
    <row r="42" spans="2:44"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</row>
    <row r="43" spans="2:44"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</row>
    <row r="44" spans="2:44"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</row>
    <row r="45" spans="2:44"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</row>
    <row r="46" spans="2:44"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</row>
    <row r="47" spans="2:44"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</row>
    <row r="48" spans="2:44"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</row>
    <row r="49" spans="2:44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</row>
    <row r="50" spans="2:44"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</row>
    <row r="52" spans="2:44"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</row>
  </sheetData>
  <mergeCells count="134">
    <mergeCell ref="AC15:AF15"/>
    <mergeCell ref="AG15:AJ15"/>
    <mergeCell ref="AK15:AN15"/>
    <mergeCell ref="AO15:AR15"/>
    <mergeCell ref="E15:H15"/>
    <mergeCell ref="I15:L15"/>
    <mergeCell ref="M15:P15"/>
    <mergeCell ref="Q15:T15"/>
    <mergeCell ref="U15:X15"/>
    <mergeCell ref="Y15:AB15"/>
    <mergeCell ref="AK13:AL14"/>
    <mergeCell ref="AM13:AN14"/>
    <mergeCell ref="AO13:AP14"/>
    <mergeCell ref="AQ13:AR14"/>
    <mergeCell ref="U13:V14"/>
    <mergeCell ref="W13:X14"/>
    <mergeCell ref="Y13:Z14"/>
    <mergeCell ref="AA13:AB14"/>
    <mergeCell ref="AC13:AD14"/>
    <mergeCell ref="AE13:AF14"/>
    <mergeCell ref="I13:J14"/>
    <mergeCell ref="K13:L14"/>
    <mergeCell ref="M13:N14"/>
    <mergeCell ref="O13:P14"/>
    <mergeCell ref="Q13:R14"/>
    <mergeCell ref="S13:T14"/>
    <mergeCell ref="Y12:AB12"/>
    <mergeCell ref="AC12:AF12"/>
    <mergeCell ref="AG12:AJ12"/>
    <mergeCell ref="AG13:AH14"/>
    <mergeCell ref="AI13:AJ14"/>
    <mergeCell ref="AK12:AN12"/>
    <mergeCell ref="AO12:AR12"/>
    <mergeCell ref="B13:B15"/>
    <mergeCell ref="C13:C15"/>
    <mergeCell ref="D13:D15"/>
    <mergeCell ref="E13:F14"/>
    <mergeCell ref="G13:H14"/>
    <mergeCell ref="AI10:AJ11"/>
    <mergeCell ref="AK10:AL11"/>
    <mergeCell ref="AM10:AN11"/>
    <mergeCell ref="AO10:AP11"/>
    <mergeCell ref="AQ10:AR11"/>
    <mergeCell ref="E12:H12"/>
    <mergeCell ref="I12:L12"/>
    <mergeCell ref="M12:P12"/>
    <mergeCell ref="Q12:T12"/>
    <mergeCell ref="U12:X12"/>
    <mergeCell ref="W10:X11"/>
    <mergeCell ref="Y10:Z11"/>
    <mergeCell ref="AA10:AB11"/>
    <mergeCell ref="AC10:AD11"/>
    <mergeCell ref="AE10:AF11"/>
    <mergeCell ref="AG10:AH11"/>
    <mergeCell ref="K10:L11"/>
    <mergeCell ref="AK6:AL7"/>
    <mergeCell ref="AM6:AN7"/>
    <mergeCell ref="AO6:AP7"/>
    <mergeCell ref="M10:N11"/>
    <mergeCell ref="O10:P11"/>
    <mergeCell ref="Q10:R11"/>
    <mergeCell ref="S10:T11"/>
    <mergeCell ref="U10:V11"/>
    <mergeCell ref="AC8:AF8"/>
    <mergeCell ref="AG8:AJ8"/>
    <mergeCell ref="AK8:AN8"/>
    <mergeCell ref="AO8:AR8"/>
    <mergeCell ref="S6:T7"/>
    <mergeCell ref="U6:V7"/>
    <mergeCell ref="W6:X7"/>
    <mergeCell ref="AE6:AF7"/>
    <mergeCell ref="AG6:AH7"/>
    <mergeCell ref="AI6:AJ7"/>
    <mergeCell ref="M6:N7"/>
    <mergeCell ref="O6:P7"/>
    <mergeCell ref="Q6:R7"/>
    <mergeCell ref="B10:B12"/>
    <mergeCell ref="C10:C12"/>
    <mergeCell ref="D10:D12"/>
    <mergeCell ref="E10:F11"/>
    <mergeCell ref="G10:H11"/>
    <mergeCell ref="I10:J11"/>
    <mergeCell ref="AO5:AR5"/>
    <mergeCell ref="B6:B8"/>
    <mergeCell ref="C6:C8"/>
    <mergeCell ref="D6:D8"/>
    <mergeCell ref="E6:F7"/>
    <mergeCell ref="G6:H7"/>
    <mergeCell ref="I6:J7"/>
    <mergeCell ref="K6:L7"/>
    <mergeCell ref="AQ6:AR7"/>
    <mergeCell ref="E8:H8"/>
    <mergeCell ref="I8:L8"/>
    <mergeCell ref="M8:P8"/>
    <mergeCell ref="Q8:T8"/>
    <mergeCell ref="U8:X8"/>
    <mergeCell ref="Y8:AB8"/>
    <mergeCell ref="Y6:Z7"/>
    <mergeCell ref="AA6:AB7"/>
    <mergeCell ref="AC6:AD7"/>
    <mergeCell ref="AI3:AJ4"/>
    <mergeCell ref="AK3:AL4"/>
    <mergeCell ref="O3:P4"/>
    <mergeCell ref="Q3:R4"/>
    <mergeCell ref="S3:T4"/>
    <mergeCell ref="U3:V4"/>
    <mergeCell ref="W3:X4"/>
    <mergeCell ref="Y3:Z4"/>
    <mergeCell ref="AG5:AJ5"/>
    <mergeCell ref="AK5:AN5"/>
    <mergeCell ref="B1:V1"/>
    <mergeCell ref="W1:AR1"/>
    <mergeCell ref="B3:B5"/>
    <mergeCell ref="C3:C5"/>
    <mergeCell ref="D3:D5"/>
    <mergeCell ref="E3:F4"/>
    <mergeCell ref="G3:H4"/>
    <mergeCell ref="I3:J4"/>
    <mergeCell ref="K3:L4"/>
    <mergeCell ref="M3:N4"/>
    <mergeCell ref="AM3:AN4"/>
    <mergeCell ref="AO3:AP4"/>
    <mergeCell ref="AQ3:AR4"/>
    <mergeCell ref="E5:H5"/>
    <mergeCell ref="I5:L5"/>
    <mergeCell ref="M5:P5"/>
    <mergeCell ref="Q5:T5"/>
    <mergeCell ref="U5:X5"/>
    <mergeCell ref="Y5:AB5"/>
    <mergeCell ref="AC5:AF5"/>
    <mergeCell ref="AA3:AB4"/>
    <mergeCell ref="AC3:AD4"/>
    <mergeCell ref="AE3:AF4"/>
    <mergeCell ref="AG3:AH4"/>
  </mergeCells>
  <phoneticPr fontId="2" type="noConversion"/>
  <pageMargins left="0.23622047244094491" right="0.23622047244094491" top="0.39370078740157483" bottom="0.39370078740157483" header="0.31496062992125984" footer="0.31496062992125984"/>
  <pageSetup paperSize="9" scale="1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A1:AB94"/>
  <sheetViews>
    <sheetView zoomScaleNormal="100" workbookViewId="0">
      <selection activeCell="C5" sqref="C5"/>
    </sheetView>
  </sheetViews>
  <sheetFormatPr defaultRowHeight="16.5"/>
  <cols>
    <col min="1" max="24" width="7.5703125" style="146" customWidth="1"/>
    <col min="25" max="16384" width="9.140625" style="146"/>
  </cols>
  <sheetData>
    <row r="1" spans="1:28" ht="37.5" customHeight="1">
      <c r="A1" s="191" t="e">
        <f>'MeasureReport-1.1'!K6:M6</f>
        <v>#VALUE!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2" t="s">
        <v>95</v>
      </c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</row>
    <row r="2" spans="1:28" ht="20.100000000000001" customHeight="1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</row>
    <row r="3" spans="1:28" ht="20.100000000000001" customHeight="1">
      <c r="A3" s="148" t="s">
        <v>52</v>
      </c>
      <c r="B3" s="149"/>
      <c r="C3" s="149"/>
      <c r="D3" s="149"/>
      <c r="E3" s="149"/>
      <c r="F3" s="150"/>
      <c r="G3" s="148" t="s">
        <v>53</v>
      </c>
      <c r="H3" s="149"/>
      <c r="I3" s="149"/>
      <c r="J3" s="149"/>
      <c r="K3" s="149"/>
      <c r="L3" s="150"/>
      <c r="M3" s="148" t="s">
        <v>53</v>
      </c>
      <c r="N3" s="149"/>
      <c r="O3" s="149"/>
      <c r="P3" s="149"/>
      <c r="Q3" s="149"/>
      <c r="R3" s="150"/>
      <c r="S3" s="148" t="s">
        <v>53</v>
      </c>
      <c r="T3" s="149"/>
      <c r="U3" s="149"/>
      <c r="V3" s="149"/>
      <c r="W3" s="149"/>
      <c r="X3" s="150"/>
    </row>
    <row r="4" spans="1:28" ht="20.100000000000001" customHeight="1">
      <c r="A4" s="151" t="s">
        <v>54</v>
      </c>
      <c r="B4" s="151" t="s">
        <v>55</v>
      </c>
      <c r="C4" s="151" t="s">
        <v>56</v>
      </c>
      <c r="D4" s="152" t="s">
        <v>57</v>
      </c>
      <c r="E4" s="153" t="s">
        <v>58</v>
      </c>
      <c r="F4" s="154" t="s">
        <v>59</v>
      </c>
      <c r="G4" s="151" t="s">
        <v>54</v>
      </c>
      <c r="H4" s="151" t="s">
        <v>60</v>
      </c>
      <c r="I4" s="151" t="s">
        <v>56</v>
      </c>
      <c r="J4" s="152" t="s">
        <v>57</v>
      </c>
      <c r="K4" s="153" t="s">
        <v>58</v>
      </c>
      <c r="L4" s="154" t="s">
        <v>59</v>
      </c>
      <c r="M4" s="151" t="s">
        <v>54</v>
      </c>
      <c r="N4" s="151" t="s">
        <v>60</v>
      </c>
      <c r="O4" s="151" t="s">
        <v>61</v>
      </c>
      <c r="P4" s="152" t="s">
        <v>57</v>
      </c>
      <c r="Q4" s="153" t="s">
        <v>58</v>
      </c>
      <c r="R4" s="154" t="s">
        <v>59</v>
      </c>
      <c r="S4" s="151" t="s">
        <v>54</v>
      </c>
      <c r="T4" s="151" t="s">
        <v>60</v>
      </c>
      <c r="U4" s="151" t="s">
        <v>61</v>
      </c>
      <c r="V4" s="152" t="s">
        <v>57</v>
      </c>
      <c r="W4" s="153" t="s">
        <v>58</v>
      </c>
      <c r="X4" s="154" t="s">
        <v>59</v>
      </c>
    </row>
    <row r="5" spans="1:28" ht="20.100000000000001" customHeight="1">
      <c r="A5" s="155" t="s">
        <v>62</v>
      </c>
      <c r="B5" s="151" t="s">
        <v>63</v>
      </c>
      <c r="C5" s="156"/>
      <c r="D5" s="156"/>
      <c r="E5" s="157"/>
      <c r="F5" s="158">
        <f>SQRT((C5-C6)*(C5-C6)+(D5-D6)*(D5-D6))</f>
        <v>0</v>
      </c>
      <c r="G5" s="155" t="s">
        <v>64</v>
      </c>
      <c r="H5" s="159" t="s">
        <v>63</v>
      </c>
      <c r="I5" s="156"/>
      <c r="J5" s="156"/>
      <c r="K5" s="157"/>
      <c r="L5" s="158">
        <f>SQRT((I5-I6)*(I5-I6)+(J5-J6)*(J5-J6))</f>
        <v>0</v>
      </c>
      <c r="M5" s="155" t="s">
        <v>65</v>
      </c>
      <c r="N5" s="151" t="s">
        <v>63</v>
      </c>
      <c r="O5" s="156"/>
      <c r="P5" s="156"/>
      <c r="Q5" s="157"/>
      <c r="R5" s="158">
        <f>SQRT((O5-O6)*(O5-O6)+(P5-P6)*(P5-P6))</f>
        <v>0</v>
      </c>
      <c r="S5" s="155" t="s">
        <v>66</v>
      </c>
      <c r="T5" s="151" t="s">
        <v>63</v>
      </c>
      <c r="U5" s="160"/>
      <c r="V5" s="160"/>
      <c r="W5" s="160"/>
      <c r="X5" s="158">
        <f>SQRT((U5-U6)*(U5-U6)+(V5-V6)*(V5-V6))</f>
        <v>0</v>
      </c>
      <c r="AA5" s="161">
        <f>$F$5</f>
        <v>0</v>
      </c>
      <c r="AB5" s="161">
        <f>IFERROR(AA5,IF(AA5&gt;0,AA5,""))</f>
        <v>0</v>
      </c>
    </row>
    <row r="6" spans="1:28" ht="20.100000000000001" customHeight="1">
      <c r="A6" s="162"/>
      <c r="B6" s="151" t="s">
        <v>67</v>
      </c>
      <c r="C6" s="156"/>
      <c r="D6" s="156"/>
      <c r="E6" s="157"/>
      <c r="F6" s="163"/>
      <c r="G6" s="162"/>
      <c r="H6" s="151" t="s">
        <v>67</v>
      </c>
      <c r="I6" s="156"/>
      <c r="J6" s="156"/>
      <c r="K6" s="157"/>
      <c r="L6" s="163"/>
      <c r="M6" s="162"/>
      <c r="N6" s="151" t="s">
        <v>67</v>
      </c>
      <c r="O6" s="156"/>
      <c r="P6" s="156"/>
      <c r="Q6" s="157"/>
      <c r="R6" s="163"/>
      <c r="S6" s="162"/>
      <c r="T6" s="151" t="s">
        <v>67</v>
      </c>
      <c r="U6" s="160"/>
      <c r="V6" s="160"/>
      <c r="W6" s="160"/>
      <c r="X6" s="163"/>
      <c r="AA6" s="161">
        <f>$L$5</f>
        <v>0</v>
      </c>
      <c r="AB6" s="161">
        <f t="shared" ref="AB6:AB28" si="0">IFERROR(AA6,IF(AA6&gt;0,AA6,""))</f>
        <v>0</v>
      </c>
    </row>
    <row r="7" spans="1:28" ht="20.100000000000001" customHeight="1">
      <c r="A7" s="164"/>
      <c r="B7" s="165"/>
      <c r="C7" s="165"/>
      <c r="D7" s="166"/>
      <c r="E7" s="166"/>
      <c r="F7" s="166"/>
      <c r="G7" s="167"/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8"/>
      <c r="AA7" s="161">
        <f>$R$5</f>
        <v>0</v>
      </c>
      <c r="AB7" s="161">
        <f t="shared" si="0"/>
        <v>0</v>
      </c>
    </row>
    <row r="8" spans="1:28" ht="20.100000000000001" customHeight="1">
      <c r="A8" s="164"/>
      <c r="B8" s="165"/>
      <c r="C8" s="165"/>
      <c r="D8" s="166"/>
      <c r="E8" s="166"/>
      <c r="F8" s="166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8"/>
      <c r="AA8" s="161">
        <f>$X$5</f>
        <v>0</v>
      </c>
      <c r="AB8" s="161">
        <f t="shared" si="0"/>
        <v>0</v>
      </c>
    </row>
    <row r="9" spans="1:28" ht="20.100000000000001" customHeight="1">
      <c r="A9" s="164"/>
      <c r="B9" s="165"/>
      <c r="C9" s="165"/>
      <c r="D9" s="166"/>
      <c r="E9" s="166"/>
      <c r="F9" s="166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67"/>
      <c r="T9" s="167"/>
      <c r="U9" s="167"/>
      <c r="V9" s="167"/>
      <c r="W9" s="167"/>
      <c r="X9" s="168"/>
      <c r="AA9" s="161">
        <f>$F$20</f>
        <v>0</v>
      </c>
      <c r="AB9" s="161">
        <f t="shared" si="0"/>
        <v>0</v>
      </c>
    </row>
    <row r="10" spans="1:28" ht="20.100000000000001" customHeight="1">
      <c r="A10" s="164"/>
      <c r="B10" s="165"/>
      <c r="C10" s="165"/>
      <c r="D10" s="166"/>
      <c r="E10" s="166"/>
      <c r="F10" s="166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8"/>
      <c r="AA10" s="161">
        <f>$L$20</f>
        <v>0</v>
      </c>
      <c r="AB10" s="161">
        <f t="shared" si="0"/>
        <v>0</v>
      </c>
    </row>
    <row r="11" spans="1:28" ht="20.100000000000001" customHeight="1">
      <c r="A11" s="169"/>
      <c r="B11" s="167"/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8"/>
      <c r="AA11" s="161">
        <f>$R$20</f>
        <v>0</v>
      </c>
      <c r="AB11" s="161">
        <f t="shared" si="0"/>
        <v>0</v>
      </c>
    </row>
    <row r="12" spans="1:28" ht="20.100000000000001" customHeight="1">
      <c r="A12" s="169"/>
      <c r="B12" s="167"/>
      <c r="C12" s="167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8"/>
      <c r="AA12" s="161">
        <f>$X$20</f>
        <v>0</v>
      </c>
      <c r="AB12" s="161">
        <f t="shared" si="0"/>
        <v>0</v>
      </c>
    </row>
    <row r="13" spans="1:28" ht="20.100000000000001" customHeight="1">
      <c r="A13" s="169"/>
      <c r="B13" s="167"/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7"/>
      <c r="R13" s="167"/>
      <c r="S13" s="167"/>
      <c r="T13" s="167"/>
      <c r="U13" s="167"/>
      <c r="V13" s="167"/>
      <c r="W13" s="167"/>
      <c r="X13" s="168"/>
      <c r="AA13" s="161">
        <f>$F$35</f>
        <v>0</v>
      </c>
      <c r="AB13" s="161">
        <f t="shared" si="0"/>
        <v>0</v>
      </c>
    </row>
    <row r="14" spans="1:28" ht="20.100000000000001" customHeight="1">
      <c r="A14" s="169" t="s">
        <v>53</v>
      </c>
      <c r="B14" s="167"/>
      <c r="C14" s="167"/>
      <c r="D14" s="170" t="s">
        <v>68</v>
      </c>
      <c r="E14" s="170"/>
      <c r="F14" s="167"/>
      <c r="G14" s="167" t="s">
        <v>53</v>
      </c>
      <c r="H14" s="167"/>
      <c r="I14" s="167"/>
      <c r="J14" s="170" t="s">
        <v>68</v>
      </c>
      <c r="K14" s="170"/>
      <c r="L14" s="167"/>
      <c r="M14" s="167"/>
      <c r="N14" s="167"/>
      <c r="O14" s="167"/>
      <c r="P14" s="167"/>
      <c r="Q14" s="167"/>
      <c r="R14" s="167"/>
      <c r="S14" s="167"/>
      <c r="T14" s="167"/>
      <c r="U14" s="167"/>
      <c r="V14" s="167"/>
      <c r="W14" s="167"/>
      <c r="X14" s="168"/>
      <c r="AA14" s="161">
        <f>$L$35</f>
        <v>0</v>
      </c>
      <c r="AB14" s="161">
        <f t="shared" si="0"/>
        <v>0</v>
      </c>
    </row>
    <row r="15" spans="1:28" ht="20.100000000000001" customHeight="1">
      <c r="A15" s="169"/>
      <c r="B15" s="167"/>
      <c r="C15" s="167"/>
      <c r="D15" s="170"/>
      <c r="E15" s="170"/>
      <c r="F15" s="167"/>
      <c r="G15" s="167"/>
      <c r="H15" s="167"/>
      <c r="I15" s="167"/>
      <c r="J15" s="170"/>
      <c r="K15" s="170"/>
      <c r="L15" s="167"/>
      <c r="M15" s="167"/>
      <c r="N15" s="167"/>
      <c r="O15" s="167"/>
      <c r="P15" s="167"/>
      <c r="Q15" s="167"/>
      <c r="R15" s="167"/>
      <c r="S15" s="167"/>
      <c r="T15" s="167"/>
      <c r="U15" s="167"/>
      <c r="V15" s="167"/>
      <c r="W15" s="167"/>
      <c r="X15" s="168"/>
      <c r="AA15" s="161">
        <f>$R$35</f>
        <v>0</v>
      </c>
      <c r="AB15" s="161">
        <f t="shared" si="0"/>
        <v>0</v>
      </c>
    </row>
    <row r="16" spans="1:28" ht="20.100000000000001" customHeight="1">
      <c r="A16" s="169"/>
      <c r="B16" s="167"/>
      <c r="C16" s="167"/>
      <c r="D16" s="170"/>
      <c r="E16" s="170"/>
      <c r="F16" s="167"/>
      <c r="G16" s="167"/>
      <c r="H16" s="167"/>
      <c r="I16" s="167"/>
      <c r="J16" s="170"/>
      <c r="K16" s="170"/>
      <c r="L16" s="167"/>
      <c r="M16" s="167"/>
      <c r="N16" s="167"/>
      <c r="O16" s="167"/>
      <c r="P16" s="167"/>
      <c r="Q16" s="167"/>
      <c r="R16" s="167"/>
      <c r="S16" s="167"/>
      <c r="T16" s="167"/>
      <c r="U16" s="167"/>
      <c r="V16" s="167"/>
      <c r="W16" s="167"/>
      <c r="X16" s="168"/>
      <c r="AA16" s="161">
        <f>$X$35</f>
        <v>0</v>
      </c>
      <c r="AB16" s="161">
        <f t="shared" si="0"/>
        <v>0</v>
      </c>
    </row>
    <row r="17" spans="1:28" ht="20.100000000000001" customHeight="1">
      <c r="A17" s="169"/>
      <c r="B17" s="167"/>
      <c r="C17" s="171"/>
      <c r="D17" s="171"/>
      <c r="E17" s="171"/>
      <c r="F17" s="171"/>
      <c r="G17" s="167"/>
      <c r="H17" s="167"/>
      <c r="I17" s="167"/>
      <c r="J17" s="170"/>
      <c r="K17" s="170"/>
      <c r="L17" s="167"/>
      <c r="M17" s="167"/>
      <c r="N17" s="167"/>
      <c r="O17" s="167"/>
      <c r="P17" s="170"/>
      <c r="Q17" s="170"/>
      <c r="R17" s="167"/>
      <c r="S17" s="167"/>
      <c r="T17" s="167"/>
      <c r="U17" s="167"/>
      <c r="V17" s="170"/>
      <c r="W17" s="170"/>
      <c r="X17" s="168"/>
      <c r="AA17" s="161">
        <f>$F$50</f>
        <v>0</v>
      </c>
      <c r="AB17" s="161">
        <f t="shared" si="0"/>
        <v>0</v>
      </c>
    </row>
    <row r="18" spans="1:28" ht="20.100000000000001" customHeight="1">
      <c r="A18" s="148" t="s">
        <v>52</v>
      </c>
      <c r="B18" s="149"/>
      <c r="C18" s="149"/>
      <c r="D18" s="149"/>
      <c r="E18" s="149"/>
      <c r="F18" s="150"/>
      <c r="G18" s="148" t="s">
        <v>69</v>
      </c>
      <c r="H18" s="149"/>
      <c r="I18" s="149"/>
      <c r="J18" s="149"/>
      <c r="K18" s="149"/>
      <c r="L18" s="150"/>
      <c r="M18" s="148" t="s">
        <v>69</v>
      </c>
      <c r="N18" s="149"/>
      <c r="O18" s="149"/>
      <c r="P18" s="149"/>
      <c r="Q18" s="149"/>
      <c r="R18" s="150"/>
      <c r="S18" s="148" t="s">
        <v>69</v>
      </c>
      <c r="T18" s="149"/>
      <c r="U18" s="149"/>
      <c r="V18" s="149"/>
      <c r="W18" s="149"/>
      <c r="X18" s="150"/>
      <c r="AA18" s="172">
        <f>$L$50</f>
        <v>0</v>
      </c>
      <c r="AB18" s="172">
        <f t="shared" si="0"/>
        <v>0</v>
      </c>
    </row>
    <row r="19" spans="1:28" ht="20.100000000000001" customHeight="1">
      <c r="A19" s="151" t="s">
        <v>54</v>
      </c>
      <c r="B19" s="151" t="s">
        <v>60</v>
      </c>
      <c r="C19" s="151" t="s">
        <v>61</v>
      </c>
      <c r="D19" s="152" t="s">
        <v>57</v>
      </c>
      <c r="E19" s="153" t="s">
        <v>58</v>
      </c>
      <c r="F19" s="154" t="s">
        <v>59</v>
      </c>
      <c r="G19" s="151" t="s">
        <v>54</v>
      </c>
      <c r="H19" s="151" t="s">
        <v>60</v>
      </c>
      <c r="I19" s="151" t="s">
        <v>61</v>
      </c>
      <c r="J19" s="152" t="s">
        <v>57</v>
      </c>
      <c r="K19" s="153" t="s">
        <v>58</v>
      </c>
      <c r="L19" s="154" t="s">
        <v>59</v>
      </c>
      <c r="M19" s="151" t="s">
        <v>54</v>
      </c>
      <c r="N19" s="151" t="s">
        <v>60</v>
      </c>
      <c r="O19" s="151" t="s">
        <v>61</v>
      </c>
      <c r="P19" s="152" t="s">
        <v>57</v>
      </c>
      <c r="Q19" s="153" t="s">
        <v>58</v>
      </c>
      <c r="R19" s="154" t="s">
        <v>59</v>
      </c>
      <c r="S19" s="151" t="s">
        <v>54</v>
      </c>
      <c r="T19" s="151" t="s">
        <v>60</v>
      </c>
      <c r="U19" s="151" t="s">
        <v>61</v>
      </c>
      <c r="V19" s="152" t="s">
        <v>57</v>
      </c>
      <c r="W19" s="153" t="s">
        <v>58</v>
      </c>
      <c r="X19" s="154" t="s">
        <v>59</v>
      </c>
      <c r="AA19" s="172">
        <f>$R$50</f>
        <v>0</v>
      </c>
      <c r="AB19" s="172">
        <f t="shared" si="0"/>
        <v>0</v>
      </c>
    </row>
    <row r="20" spans="1:28" ht="20.100000000000001" customHeight="1">
      <c r="A20" s="155" t="s">
        <v>70</v>
      </c>
      <c r="B20" s="151" t="s">
        <v>63</v>
      </c>
      <c r="C20" s="156"/>
      <c r="D20" s="156"/>
      <c r="E20" s="157"/>
      <c r="F20" s="158">
        <f>SQRT((C20-C21)*(C20-C21)+(D20-D21)*(D20-D21))</f>
        <v>0</v>
      </c>
      <c r="G20" s="155" t="s">
        <v>71</v>
      </c>
      <c r="H20" s="159" t="s">
        <v>63</v>
      </c>
      <c r="I20" s="156"/>
      <c r="J20" s="156"/>
      <c r="K20" s="157"/>
      <c r="L20" s="158">
        <f>SQRT((I20-I21)*(I20-I21)+(J20-J21)*(J20-J21))</f>
        <v>0</v>
      </c>
      <c r="M20" s="155" t="s">
        <v>72</v>
      </c>
      <c r="N20" s="151" t="s">
        <v>63</v>
      </c>
      <c r="O20" s="156"/>
      <c r="P20" s="156"/>
      <c r="Q20" s="157"/>
      <c r="R20" s="158">
        <f>SQRT((O20-O21)*(O20-O21)+(P20-P21)*(P20-P21))</f>
        <v>0</v>
      </c>
      <c r="S20" s="155" t="s">
        <v>73</v>
      </c>
      <c r="T20" s="151" t="s">
        <v>63</v>
      </c>
      <c r="U20" s="160"/>
      <c r="V20" s="160"/>
      <c r="W20" s="160"/>
      <c r="X20" s="158">
        <f>SQRT((U20-U21)*(U20-U21)+(V20-V21)*(V20-V21))</f>
        <v>0</v>
      </c>
      <c r="AA20" s="161">
        <f>$X$50</f>
        <v>0</v>
      </c>
      <c r="AB20" s="161">
        <f t="shared" si="0"/>
        <v>0</v>
      </c>
    </row>
    <row r="21" spans="1:28" ht="20.100000000000001" customHeight="1">
      <c r="A21" s="162"/>
      <c r="B21" s="151" t="s">
        <v>67</v>
      </c>
      <c r="C21" s="156"/>
      <c r="D21" s="156"/>
      <c r="E21" s="157"/>
      <c r="F21" s="163"/>
      <c r="G21" s="162"/>
      <c r="H21" s="151" t="s">
        <v>67</v>
      </c>
      <c r="I21" s="156"/>
      <c r="J21" s="156"/>
      <c r="K21" s="157"/>
      <c r="L21" s="163"/>
      <c r="M21" s="162"/>
      <c r="N21" s="151" t="s">
        <v>67</v>
      </c>
      <c r="O21" s="156"/>
      <c r="P21" s="156"/>
      <c r="Q21" s="157"/>
      <c r="R21" s="163"/>
      <c r="S21" s="162"/>
      <c r="T21" s="151" t="s">
        <v>67</v>
      </c>
      <c r="U21" s="160"/>
      <c r="V21" s="160"/>
      <c r="W21" s="160"/>
      <c r="X21" s="163"/>
      <c r="AA21" s="161">
        <f>$F$65</f>
        <v>0</v>
      </c>
      <c r="AB21" s="161">
        <f t="shared" si="0"/>
        <v>0</v>
      </c>
    </row>
    <row r="22" spans="1:28" ht="20.100000000000001" customHeight="1">
      <c r="A22" s="169"/>
      <c r="B22" s="167"/>
      <c r="C22" s="167"/>
      <c r="D22" s="167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8"/>
      <c r="AA22" s="161">
        <f>$L$65</f>
        <v>0</v>
      </c>
      <c r="AB22" s="161">
        <f t="shared" si="0"/>
        <v>0</v>
      </c>
    </row>
    <row r="23" spans="1:28" ht="20.100000000000001" customHeight="1">
      <c r="A23" s="169"/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7"/>
      <c r="R23" s="167"/>
      <c r="S23" s="167"/>
      <c r="T23" s="167"/>
      <c r="U23" s="167"/>
      <c r="V23" s="167"/>
      <c r="W23" s="167"/>
      <c r="X23" s="168"/>
      <c r="AA23" s="161">
        <f>$R$65</f>
        <v>0</v>
      </c>
      <c r="AB23" s="161">
        <f t="shared" si="0"/>
        <v>0</v>
      </c>
    </row>
    <row r="24" spans="1:28" ht="20.100000000000001" customHeight="1">
      <c r="A24" s="169"/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8"/>
      <c r="AA24" s="161">
        <f>$X$65</f>
        <v>0</v>
      </c>
      <c r="AB24" s="161">
        <f t="shared" si="0"/>
        <v>0</v>
      </c>
    </row>
    <row r="25" spans="1:28" ht="20.100000000000001" customHeight="1">
      <c r="A25" s="169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8"/>
      <c r="AA25" s="161">
        <f>$F$80</f>
        <v>0</v>
      </c>
      <c r="AB25" s="161">
        <f t="shared" si="0"/>
        <v>0</v>
      </c>
    </row>
    <row r="26" spans="1:28" ht="20.100000000000001" customHeight="1">
      <c r="A26" s="169"/>
      <c r="B26" s="167"/>
      <c r="C26" s="167"/>
      <c r="D26" s="167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8"/>
      <c r="AA26" s="161">
        <f>$L$80</f>
        <v>0</v>
      </c>
      <c r="AB26" s="161">
        <f t="shared" si="0"/>
        <v>0</v>
      </c>
    </row>
    <row r="27" spans="1:28" ht="20.100000000000001" customHeight="1">
      <c r="A27" s="169"/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8"/>
      <c r="AA27" s="161">
        <f>$R$80</f>
        <v>0</v>
      </c>
      <c r="AB27" s="161">
        <f t="shared" si="0"/>
        <v>0</v>
      </c>
    </row>
    <row r="28" spans="1:28" ht="20.100000000000001" customHeight="1">
      <c r="A28" s="169"/>
      <c r="B28" s="167"/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7"/>
      <c r="R28" s="167"/>
      <c r="S28" s="167"/>
      <c r="T28" s="167"/>
      <c r="U28" s="167"/>
      <c r="V28" s="167"/>
      <c r="W28" s="167"/>
      <c r="X28" s="168"/>
      <c r="AA28" s="161">
        <f>$X$80</f>
        <v>0</v>
      </c>
      <c r="AB28" s="161">
        <f t="shared" si="0"/>
        <v>0</v>
      </c>
    </row>
    <row r="29" spans="1:28" ht="20.100000000000001" customHeight="1">
      <c r="A29" s="169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8"/>
    </row>
    <row r="30" spans="1:28" ht="20.100000000000001" customHeight="1">
      <c r="A30" s="169"/>
      <c r="B30" s="167"/>
      <c r="C30" s="167"/>
      <c r="D30" s="167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8"/>
    </row>
    <row r="31" spans="1:28" ht="20.100000000000001" customHeight="1">
      <c r="A31" s="169"/>
      <c r="B31" s="167"/>
      <c r="C31" s="167"/>
      <c r="D31" s="167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8"/>
    </row>
    <row r="32" spans="1:28" ht="20.100000000000001" customHeight="1">
      <c r="A32" s="169"/>
      <c r="B32" s="167"/>
      <c r="C32" s="167"/>
      <c r="D32" s="167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7"/>
      <c r="R32" s="167"/>
      <c r="S32" s="167"/>
      <c r="T32" s="167"/>
      <c r="U32" s="167"/>
      <c r="V32" s="167"/>
      <c r="W32" s="167"/>
      <c r="X32" s="168"/>
    </row>
    <row r="33" spans="1:24" ht="20.100000000000001" customHeight="1">
      <c r="A33" s="148" t="s">
        <v>74</v>
      </c>
      <c r="B33" s="149"/>
      <c r="C33" s="149"/>
      <c r="D33" s="149"/>
      <c r="E33" s="149"/>
      <c r="F33" s="150"/>
      <c r="G33" s="148" t="s">
        <v>69</v>
      </c>
      <c r="H33" s="149"/>
      <c r="I33" s="149"/>
      <c r="J33" s="149"/>
      <c r="K33" s="149"/>
      <c r="L33" s="150"/>
      <c r="M33" s="148" t="s">
        <v>69</v>
      </c>
      <c r="N33" s="149"/>
      <c r="O33" s="149"/>
      <c r="P33" s="149"/>
      <c r="Q33" s="149"/>
      <c r="R33" s="150"/>
      <c r="S33" s="148" t="s">
        <v>69</v>
      </c>
      <c r="T33" s="149"/>
      <c r="U33" s="149"/>
      <c r="V33" s="149"/>
      <c r="W33" s="149"/>
      <c r="X33" s="150"/>
    </row>
    <row r="34" spans="1:24" ht="20.100000000000001" customHeight="1">
      <c r="A34" s="151" t="s">
        <v>54</v>
      </c>
      <c r="B34" s="151" t="s">
        <v>60</v>
      </c>
      <c r="C34" s="151" t="s">
        <v>61</v>
      </c>
      <c r="D34" s="152" t="s">
        <v>57</v>
      </c>
      <c r="E34" s="153" t="s">
        <v>58</v>
      </c>
      <c r="F34" s="154" t="s">
        <v>59</v>
      </c>
      <c r="G34" s="151" t="s">
        <v>54</v>
      </c>
      <c r="H34" s="151" t="s">
        <v>60</v>
      </c>
      <c r="I34" s="151" t="s">
        <v>61</v>
      </c>
      <c r="J34" s="152" t="s">
        <v>57</v>
      </c>
      <c r="K34" s="153" t="s">
        <v>58</v>
      </c>
      <c r="L34" s="154" t="s">
        <v>59</v>
      </c>
      <c r="M34" s="151" t="s">
        <v>54</v>
      </c>
      <c r="N34" s="151" t="s">
        <v>60</v>
      </c>
      <c r="O34" s="151" t="s">
        <v>61</v>
      </c>
      <c r="P34" s="152" t="s">
        <v>57</v>
      </c>
      <c r="Q34" s="153" t="s">
        <v>58</v>
      </c>
      <c r="R34" s="154" t="s">
        <v>59</v>
      </c>
      <c r="S34" s="151" t="s">
        <v>54</v>
      </c>
      <c r="T34" s="151" t="s">
        <v>60</v>
      </c>
      <c r="U34" s="151" t="s">
        <v>61</v>
      </c>
      <c r="V34" s="152" t="s">
        <v>57</v>
      </c>
      <c r="W34" s="153" t="s">
        <v>58</v>
      </c>
      <c r="X34" s="154" t="s">
        <v>59</v>
      </c>
    </row>
    <row r="35" spans="1:24" ht="20.100000000000001" customHeight="1">
      <c r="A35" s="155" t="s">
        <v>75</v>
      </c>
      <c r="B35" s="151" t="s">
        <v>63</v>
      </c>
      <c r="C35" s="156"/>
      <c r="D35" s="156"/>
      <c r="E35" s="157"/>
      <c r="F35" s="158">
        <f>SQRT((C35-C36)*(C35-C36)+(D35-D36)*(D35-D36))</f>
        <v>0</v>
      </c>
      <c r="G35" s="155" t="s">
        <v>76</v>
      </c>
      <c r="H35" s="159" t="s">
        <v>63</v>
      </c>
      <c r="I35" s="156"/>
      <c r="J35" s="156"/>
      <c r="K35" s="157"/>
      <c r="L35" s="158">
        <f>SQRT((I35-I36)*(I35-I36)+(J35-J36)*(J35-J36))</f>
        <v>0</v>
      </c>
      <c r="M35" s="155" t="s">
        <v>77</v>
      </c>
      <c r="N35" s="151" t="s">
        <v>63</v>
      </c>
      <c r="O35" s="156"/>
      <c r="P35" s="156"/>
      <c r="Q35" s="157"/>
      <c r="R35" s="158">
        <f>SQRT((O35-O36)*(O35-O36)+(P35-P36)*(P35-P36))</f>
        <v>0</v>
      </c>
      <c r="S35" s="155" t="s">
        <v>78</v>
      </c>
      <c r="T35" s="151" t="s">
        <v>63</v>
      </c>
      <c r="U35" s="160"/>
      <c r="V35" s="160"/>
      <c r="W35" s="160"/>
      <c r="X35" s="158">
        <f>SQRT((U35-U36)*(U35-U36)+(V35-V36)*(V35-V36))</f>
        <v>0</v>
      </c>
    </row>
    <row r="36" spans="1:24" ht="20.100000000000001" customHeight="1">
      <c r="A36" s="162"/>
      <c r="B36" s="151" t="s">
        <v>67</v>
      </c>
      <c r="C36" s="156"/>
      <c r="D36" s="156"/>
      <c r="E36" s="157"/>
      <c r="F36" s="163"/>
      <c r="G36" s="162"/>
      <c r="H36" s="151" t="s">
        <v>67</v>
      </c>
      <c r="I36" s="156"/>
      <c r="J36" s="156"/>
      <c r="K36" s="157"/>
      <c r="L36" s="163"/>
      <c r="M36" s="162"/>
      <c r="N36" s="151" t="s">
        <v>67</v>
      </c>
      <c r="O36" s="156"/>
      <c r="P36" s="156"/>
      <c r="Q36" s="157"/>
      <c r="R36" s="163"/>
      <c r="S36" s="162"/>
      <c r="T36" s="151" t="s">
        <v>67</v>
      </c>
      <c r="U36" s="160"/>
      <c r="V36" s="160"/>
      <c r="W36" s="160"/>
      <c r="X36" s="163"/>
    </row>
    <row r="37" spans="1:24" ht="20.100000000000001" customHeight="1">
      <c r="A37" s="169"/>
      <c r="B37" s="167"/>
      <c r="C37" s="167"/>
      <c r="D37" s="167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8"/>
    </row>
    <row r="38" spans="1:24" ht="20.100000000000001" customHeight="1">
      <c r="A38" s="169"/>
      <c r="B38" s="167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7"/>
      <c r="V38" s="167"/>
      <c r="W38" s="167"/>
      <c r="X38" s="168"/>
    </row>
    <row r="39" spans="1:24" ht="20.100000000000001" customHeight="1">
      <c r="A39" s="169"/>
      <c r="B39" s="167"/>
      <c r="C39" s="167"/>
      <c r="D39" s="167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7"/>
      <c r="R39" s="167"/>
      <c r="S39" s="167"/>
      <c r="T39" s="167"/>
      <c r="U39" s="167"/>
      <c r="V39" s="167"/>
      <c r="W39" s="167"/>
      <c r="X39" s="168"/>
    </row>
    <row r="40" spans="1:24" ht="20.100000000000001" customHeight="1">
      <c r="A40" s="169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7"/>
      <c r="R40" s="167"/>
      <c r="S40" s="167"/>
      <c r="T40" s="167"/>
      <c r="U40" s="167"/>
      <c r="V40" s="167"/>
      <c r="W40" s="167"/>
      <c r="X40" s="168"/>
    </row>
    <row r="41" spans="1:24" ht="20.100000000000001" customHeight="1">
      <c r="A41" s="169"/>
      <c r="B41" s="167"/>
      <c r="C41" s="167"/>
      <c r="D41" s="167"/>
      <c r="E41" s="167"/>
      <c r="F41" s="167"/>
      <c r="G41" s="167"/>
      <c r="H41" s="167"/>
      <c r="I41" s="167"/>
      <c r="J41" s="167"/>
      <c r="K41" s="167"/>
      <c r="L41" s="167"/>
      <c r="M41" s="167"/>
      <c r="N41" s="167"/>
      <c r="O41" s="167"/>
      <c r="P41" s="167"/>
      <c r="Q41" s="167"/>
      <c r="R41" s="167"/>
      <c r="S41" s="167"/>
      <c r="T41" s="167"/>
      <c r="U41" s="167"/>
      <c r="V41" s="167"/>
      <c r="W41" s="167"/>
      <c r="X41" s="168"/>
    </row>
    <row r="42" spans="1:24" ht="20.100000000000001" customHeight="1">
      <c r="A42" s="169"/>
      <c r="B42" s="167"/>
      <c r="C42" s="167"/>
      <c r="D42" s="167"/>
      <c r="E42" s="167"/>
      <c r="F42" s="167"/>
      <c r="G42" s="167"/>
      <c r="H42" s="167"/>
      <c r="I42" s="167"/>
      <c r="J42" s="167"/>
      <c r="K42" s="167"/>
      <c r="L42" s="167"/>
      <c r="M42" s="167"/>
      <c r="N42" s="167"/>
      <c r="O42" s="167"/>
      <c r="P42" s="167"/>
      <c r="Q42" s="167"/>
      <c r="R42" s="167"/>
      <c r="S42" s="167"/>
      <c r="T42" s="167"/>
      <c r="U42" s="167"/>
      <c r="V42" s="167"/>
      <c r="W42" s="167"/>
      <c r="X42" s="168"/>
    </row>
    <row r="43" spans="1:24" ht="20.100000000000001" customHeight="1">
      <c r="A43" s="169"/>
      <c r="B43" s="167"/>
      <c r="C43" s="167"/>
      <c r="D43" s="167"/>
      <c r="E43" s="167"/>
      <c r="F43" s="167"/>
      <c r="G43" s="167"/>
      <c r="H43" s="167"/>
      <c r="I43" s="167"/>
      <c r="J43" s="167"/>
      <c r="K43" s="167"/>
      <c r="L43" s="167"/>
      <c r="M43" s="167"/>
      <c r="N43" s="167"/>
      <c r="O43" s="167"/>
      <c r="P43" s="167"/>
      <c r="Q43" s="167"/>
      <c r="R43" s="167"/>
      <c r="S43" s="167"/>
      <c r="T43" s="167"/>
      <c r="U43" s="167"/>
      <c r="V43" s="167"/>
      <c r="W43" s="167"/>
      <c r="X43" s="168"/>
    </row>
    <row r="44" spans="1:24" ht="20.100000000000001" customHeight="1">
      <c r="A44" s="169"/>
      <c r="B44" s="167"/>
      <c r="C44" s="167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8"/>
    </row>
    <row r="45" spans="1:24" ht="20.100000000000001" customHeight="1">
      <c r="A45" s="169"/>
      <c r="B45" s="167"/>
      <c r="C45" s="167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7"/>
      <c r="V45" s="167"/>
      <c r="W45" s="167"/>
      <c r="X45" s="168"/>
    </row>
    <row r="46" spans="1:24" ht="20.100000000000001" customHeight="1">
      <c r="A46" s="169"/>
      <c r="B46" s="167"/>
      <c r="C46" s="167"/>
      <c r="D46" s="167"/>
      <c r="E46" s="167"/>
      <c r="F46" s="167"/>
      <c r="G46" s="167"/>
      <c r="H46" s="167"/>
      <c r="I46" s="167"/>
      <c r="J46" s="167"/>
      <c r="K46" s="167"/>
      <c r="L46" s="167"/>
      <c r="M46" s="167"/>
      <c r="N46" s="167"/>
      <c r="O46" s="167"/>
      <c r="P46" s="167"/>
      <c r="Q46" s="167"/>
      <c r="R46" s="167"/>
      <c r="S46" s="167"/>
      <c r="T46" s="167"/>
      <c r="U46" s="167"/>
      <c r="V46" s="167"/>
      <c r="W46" s="167"/>
      <c r="X46" s="168"/>
    </row>
    <row r="47" spans="1:24" ht="20.100000000000001" customHeight="1">
      <c r="A47" s="169"/>
      <c r="B47" s="167"/>
      <c r="C47" s="167"/>
      <c r="D47" s="167"/>
      <c r="E47" s="167"/>
      <c r="F47" s="167"/>
      <c r="G47" s="167"/>
      <c r="H47" s="167"/>
      <c r="I47" s="167"/>
      <c r="J47" s="167"/>
      <c r="K47" s="167"/>
      <c r="L47" s="167"/>
      <c r="M47" s="167"/>
      <c r="N47" s="167"/>
      <c r="O47" s="167"/>
      <c r="P47" s="167"/>
      <c r="Q47" s="167"/>
      <c r="R47" s="167"/>
      <c r="S47" s="167"/>
      <c r="T47" s="167"/>
      <c r="U47" s="167"/>
      <c r="V47" s="167"/>
      <c r="W47" s="167"/>
      <c r="X47" s="168"/>
    </row>
    <row r="48" spans="1:24" ht="20.100000000000001" customHeight="1">
      <c r="A48" s="148" t="s">
        <v>74</v>
      </c>
      <c r="B48" s="149"/>
      <c r="C48" s="149"/>
      <c r="D48" s="149"/>
      <c r="E48" s="149"/>
      <c r="F48" s="150"/>
      <c r="G48" s="148" t="s">
        <v>69</v>
      </c>
      <c r="H48" s="149"/>
      <c r="I48" s="149"/>
      <c r="J48" s="149"/>
      <c r="K48" s="149"/>
      <c r="L48" s="150"/>
      <c r="M48" s="148" t="s">
        <v>69</v>
      </c>
      <c r="N48" s="149"/>
      <c r="O48" s="149"/>
      <c r="P48" s="149"/>
      <c r="Q48" s="149"/>
      <c r="R48" s="150"/>
      <c r="S48" s="148" t="s">
        <v>69</v>
      </c>
      <c r="T48" s="149"/>
      <c r="U48" s="149"/>
      <c r="V48" s="149"/>
      <c r="W48" s="149"/>
      <c r="X48" s="150"/>
    </row>
    <row r="49" spans="1:24" ht="20.100000000000001" customHeight="1">
      <c r="A49" s="151" t="s">
        <v>54</v>
      </c>
      <c r="B49" s="151" t="s">
        <v>60</v>
      </c>
      <c r="C49" s="151" t="s">
        <v>61</v>
      </c>
      <c r="D49" s="152" t="s">
        <v>57</v>
      </c>
      <c r="E49" s="153" t="s">
        <v>58</v>
      </c>
      <c r="F49" s="154" t="s">
        <v>59</v>
      </c>
      <c r="G49" s="151" t="s">
        <v>54</v>
      </c>
      <c r="H49" s="151" t="s">
        <v>60</v>
      </c>
      <c r="I49" s="151" t="s">
        <v>61</v>
      </c>
      <c r="J49" s="152" t="s">
        <v>57</v>
      </c>
      <c r="K49" s="153" t="s">
        <v>58</v>
      </c>
      <c r="L49" s="154" t="s">
        <v>59</v>
      </c>
      <c r="M49" s="151" t="s">
        <v>54</v>
      </c>
      <c r="N49" s="151" t="s">
        <v>60</v>
      </c>
      <c r="O49" s="151" t="s">
        <v>61</v>
      </c>
      <c r="P49" s="152" t="s">
        <v>57</v>
      </c>
      <c r="Q49" s="153" t="s">
        <v>58</v>
      </c>
      <c r="R49" s="154" t="s">
        <v>59</v>
      </c>
      <c r="S49" s="151" t="s">
        <v>54</v>
      </c>
      <c r="T49" s="151" t="s">
        <v>60</v>
      </c>
      <c r="U49" s="151" t="s">
        <v>61</v>
      </c>
      <c r="V49" s="152" t="s">
        <v>57</v>
      </c>
      <c r="W49" s="153" t="s">
        <v>58</v>
      </c>
      <c r="X49" s="154" t="s">
        <v>59</v>
      </c>
    </row>
    <row r="50" spans="1:24" ht="20.100000000000001" customHeight="1">
      <c r="A50" s="155" t="s">
        <v>79</v>
      </c>
      <c r="B50" s="151" t="s">
        <v>63</v>
      </c>
      <c r="C50" s="156"/>
      <c r="D50" s="156"/>
      <c r="E50" s="157"/>
      <c r="F50" s="158">
        <f>SQRT((C50-C51)*(C50-C51)+(D50-D51)*(D50-D51))</f>
        <v>0</v>
      </c>
      <c r="G50" s="155" t="s">
        <v>80</v>
      </c>
      <c r="H50" s="159" t="s">
        <v>63</v>
      </c>
      <c r="I50" s="156"/>
      <c r="J50" s="156"/>
      <c r="K50" s="157"/>
      <c r="L50" s="158">
        <f>SQRT((I50-I51)*(I50-I51)+(J50-J51)*(J50-J51))</f>
        <v>0</v>
      </c>
      <c r="M50" s="155" t="s">
        <v>81</v>
      </c>
      <c r="N50" s="151" t="s">
        <v>63</v>
      </c>
      <c r="O50" s="156"/>
      <c r="P50" s="156"/>
      <c r="Q50" s="157"/>
      <c r="R50" s="158">
        <f>SQRT((O50-O51)*(O50-O51)+(P50-P51)*(P50-P51))</f>
        <v>0</v>
      </c>
      <c r="S50" s="155" t="s">
        <v>82</v>
      </c>
      <c r="T50" s="151" t="s">
        <v>63</v>
      </c>
      <c r="U50" s="160"/>
      <c r="V50" s="160"/>
      <c r="W50" s="160"/>
      <c r="X50" s="158">
        <f>SQRT((U50-U51)*(U50-U51)+(V50-V51)*(V50-V51))</f>
        <v>0</v>
      </c>
    </row>
    <row r="51" spans="1:24" ht="20.100000000000001" customHeight="1">
      <c r="A51" s="162"/>
      <c r="B51" s="151" t="s">
        <v>67</v>
      </c>
      <c r="C51" s="156"/>
      <c r="D51" s="156"/>
      <c r="E51" s="157"/>
      <c r="F51" s="163"/>
      <c r="G51" s="162"/>
      <c r="H51" s="151" t="s">
        <v>67</v>
      </c>
      <c r="I51" s="156"/>
      <c r="J51" s="156"/>
      <c r="K51" s="157"/>
      <c r="L51" s="163"/>
      <c r="M51" s="162"/>
      <c r="N51" s="151" t="s">
        <v>67</v>
      </c>
      <c r="O51" s="156"/>
      <c r="P51" s="156"/>
      <c r="Q51" s="157"/>
      <c r="R51" s="163"/>
      <c r="S51" s="162"/>
      <c r="T51" s="151" t="s">
        <v>67</v>
      </c>
      <c r="U51" s="160"/>
      <c r="V51" s="160"/>
      <c r="W51" s="160"/>
      <c r="X51" s="163"/>
    </row>
    <row r="52" spans="1:24" ht="20.100000000000001" customHeight="1">
      <c r="A52" s="169"/>
      <c r="B52" s="167"/>
      <c r="C52" s="167"/>
      <c r="D52" s="167"/>
      <c r="E52" s="167"/>
      <c r="F52" s="167"/>
      <c r="G52" s="167"/>
      <c r="H52" s="167"/>
      <c r="I52" s="167"/>
      <c r="J52" s="167"/>
      <c r="K52" s="167"/>
      <c r="L52" s="167"/>
      <c r="M52" s="167"/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8"/>
    </row>
    <row r="53" spans="1:24" ht="20.100000000000001" customHeight="1">
      <c r="A53" s="169"/>
      <c r="B53" s="167"/>
      <c r="C53" s="167"/>
      <c r="D53" s="167"/>
      <c r="E53" s="167"/>
      <c r="F53" s="167"/>
      <c r="G53" s="167"/>
      <c r="H53" s="167"/>
      <c r="I53" s="167"/>
      <c r="J53" s="167"/>
      <c r="K53" s="167"/>
      <c r="L53" s="167"/>
      <c r="M53" s="167"/>
      <c r="N53" s="167"/>
      <c r="O53" s="167"/>
      <c r="P53" s="167"/>
      <c r="Q53" s="167"/>
      <c r="R53" s="167"/>
      <c r="S53" s="167"/>
      <c r="T53" s="167"/>
      <c r="U53" s="167"/>
      <c r="V53" s="167"/>
      <c r="W53" s="167"/>
      <c r="X53" s="168"/>
    </row>
    <row r="54" spans="1:24" ht="20.100000000000001" customHeight="1">
      <c r="A54" s="169"/>
      <c r="B54" s="167"/>
      <c r="C54" s="167"/>
      <c r="D54" s="167"/>
      <c r="E54" s="167"/>
      <c r="F54" s="167"/>
      <c r="G54" s="167"/>
      <c r="H54" s="167"/>
      <c r="I54" s="167"/>
      <c r="J54" s="167"/>
      <c r="K54" s="167"/>
      <c r="L54" s="167"/>
      <c r="M54" s="167"/>
      <c r="N54" s="167"/>
      <c r="O54" s="167"/>
      <c r="P54" s="167"/>
      <c r="Q54" s="167"/>
      <c r="R54" s="167"/>
      <c r="S54" s="167"/>
      <c r="T54" s="167"/>
      <c r="U54" s="167"/>
      <c r="V54" s="167"/>
      <c r="W54" s="167"/>
      <c r="X54" s="168"/>
    </row>
    <row r="55" spans="1:24" ht="20.100000000000001" customHeight="1">
      <c r="A55" s="169"/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8"/>
    </row>
    <row r="56" spans="1:24" ht="20.100000000000001" customHeight="1">
      <c r="A56" s="169"/>
      <c r="B56" s="167"/>
      <c r="C56" s="167"/>
      <c r="D56" s="167"/>
      <c r="E56" s="167"/>
      <c r="F56" s="167"/>
      <c r="G56" s="167"/>
      <c r="H56" s="167"/>
      <c r="I56" s="167"/>
      <c r="J56" s="167"/>
      <c r="K56" s="167"/>
      <c r="L56" s="167"/>
      <c r="M56" s="167"/>
      <c r="N56" s="167"/>
      <c r="O56" s="167"/>
      <c r="P56" s="167"/>
      <c r="Q56" s="167"/>
      <c r="R56" s="167"/>
      <c r="S56" s="167"/>
      <c r="T56" s="167"/>
      <c r="U56" s="167"/>
      <c r="V56" s="167"/>
      <c r="W56" s="167"/>
      <c r="X56" s="168"/>
    </row>
    <row r="57" spans="1:24" ht="20.100000000000001" customHeight="1">
      <c r="A57" s="169"/>
      <c r="B57" s="167"/>
      <c r="C57" s="167"/>
      <c r="D57" s="167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67"/>
      <c r="S57" s="167"/>
      <c r="T57" s="167"/>
      <c r="U57" s="167"/>
      <c r="V57" s="167"/>
      <c r="W57" s="167"/>
      <c r="X57" s="168"/>
    </row>
    <row r="58" spans="1:24" ht="20.100000000000001" customHeight="1">
      <c r="A58" s="169"/>
      <c r="B58" s="167"/>
      <c r="C58" s="167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67"/>
      <c r="R58" s="167"/>
      <c r="S58" s="167"/>
      <c r="T58" s="167"/>
      <c r="U58" s="167"/>
      <c r="V58" s="167"/>
      <c r="W58" s="167"/>
      <c r="X58" s="168"/>
    </row>
    <row r="59" spans="1:24" ht="20.100000000000001" customHeight="1">
      <c r="A59" s="169"/>
      <c r="B59" s="167"/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167"/>
      <c r="W59" s="167"/>
      <c r="X59" s="168"/>
    </row>
    <row r="60" spans="1:24" ht="20.100000000000001" customHeight="1">
      <c r="A60" s="169"/>
      <c r="B60" s="167"/>
      <c r="C60" s="167"/>
      <c r="D60" s="167"/>
      <c r="E60" s="167"/>
      <c r="F60" s="167"/>
      <c r="G60" s="167"/>
      <c r="H60" s="167"/>
      <c r="I60" s="167"/>
      <c r="J60" s="167"/>
      <c r="K60" s="167"/>
      <c r="L60" s="167"/>
      <c r="M60" s="167"/>
      <c r="N60" s="167"/>
      <c r="O60" s="167"/>
      <c r="P60" s="167"/>
      <c r="Q60" s="167"/>
      <c r="R60" s="167"/>
      <c r="S60" s="167"/>
      <c r="T60" s="167"/>
      <c r="U60" s="167"/>
      <c r="V60" s="167"/>
      <c r="W60" s="167"/>
      <c r="X60" s="168"/>
    </row>
    <row r="61" spans="1:24" ht="20.100000000000001" customHeight="1">
      <c r="A61" s="169"/>
      <c r="B61" s="167"/>
      <c r="C61" s="167"/>
      <c r="D61" s="167"/>
      <c r="E61" s="167"/>
      <c r="F61" s="167"/>
      <c r="G61" s="167"/>
      <c r="H61" s="167"/>
      <c r="I61" s="167"/>
      <c r="J61" s="167"/>
      <c r="K61" s="167"/>
      <c r="L61" s="167"/>
      <c r="M61" s="167"/>
      <c r="N61" s="167"/>
      <c r="O61" s="167"/>
      <c r="P61" s="167"/>
      <c r="Q61" s="167"/>
      <c r="R61" s="167"/>
      <c r="S61" s="167"/>
      <c r="T61" s="167"/>
      <c r="U61" s="167"/>
      <c r="V61" s="167"/>
      <c r="W61" s="167"/>
      <c r="X61" s="168"/>
    </row>
    <row r="62" spans="1:24" ht="20.100000000000001" customHeight="1">
      <c r="A62" s="169"/>
      <c r="B62" s="167"/>
      <c r="C62" s="167"/>
      <c r="D62" s="167"/>
      <c r="E62" s="167"/>
      <c r="F62" s="167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4"/>
    </row>
    <row r="63" spans="1:24" ht="20.100000000000001" customHeight="1">
      <c r="A63" s="148" t="s">
        <v>74</v>
      </c>
      <c r="B63" s="149"/>
      <c r="C63" s="149"/>
      <c r="D63" s="149"/>
      <c r="E63" s="149"/>
      <c r="F63" s="150"/>
      <c r="G63" s="148" t="s">
        <v>69</v>
      </c>
      <c r="H63" s="149"/>
      <c r="I63" s="149"/>
      <c r="J63" s="149"/>
      <c r="K63" s="149"/>
      <c r="L63" s="150"/>
      <c r="M63" s="148" t="s">
        <v>69</v>
      </c>
      <c r="N63" s="149"/>
      <c r="O63" s="149"/>
      <c r="P63" s="149"/>
      <c r="Q63" s="149"/>
      <c r="R63" s="150"/>
      <c r="S63" s="148" t="s">
        <v>69</v>
      </c>
      <c r="T63" s="149"/>
      <c r="U63" s="149"/>
      <c r="V63" s="149"/>
      <c r="W63" s="149"/>
      <c r="X63" s="150"/>
    </row>
    <row r="64" spans="1:24" ht="20.100000000000001" customHeight="1">
      <c r="A64" s="151" t="s">
        <v>54</v>
      </c>
      <c r="B64" s="151" t="s">
        <v>60</v>
      </c>
      <c r="C64" s="151" t="s">
        <v>61</v>
      </c>
      <c r="D64" s="152" t="s">
        <v>57</v>
      </c>
      <c r="E64" s="153" t="s">
        <v>58</v>
      </c>
      <c r="F64" s="154" t="s">
        <v>59</v>
      </c>
      <c r="G64" s="151" t="s">
        <v>54</v>
      </c>
      <c r="H64" s="151" t="s">
        <v>60</v>
      </c>
      <c r="I64" s="151" t="s">
        <v>61</v>
      </c>
      <c r="J64" s="152" t="s">
        <v>57</v>
      </c>
      <c r="K64" s="153" t="s">
        <v>58</v>
      </c>
      <c r="L64" s="154" t="s">
        <v>59</v>
      </c>
      <c r="M64" s="151" t="s">
        <v>54</v>
      </c>
      <c r="N64" s="151" t="s">
        <v>60</v>
      </c>
      <c r="O64" s="151" t="s">
        <v>61</v>
      </c>
      <c r="P64" s="152" t="s">
        <v>57</v>
      </c>
      <c r="Q64" s="153" t="s">
        <v>58</v>
      </c>
      <c r="R64" s="154" t="s">
        <v>59</v>
      </c>
      <c r="S64" s="151" t="s">
        <v>54</v>
      </c>
      <c r="T64" s="151" t="s">
        <v>60</v>
      </c>
      <c r="U64" s="151" t="s">
        <v>61</v>
      </c>
      <c r="V64" s="152" t="s">
        <v>57</v>
      </c>
      <c r="W64" s="153" t="s">
        <v>58</v>
      </c>
      <c r="X64" s="154" t="s">
        <v>59</v>
      </c>
    </row>
    <row r="65" spans="1:24" ht="20.100000000000001" customHeight="1">
      <c r="A65" s="155" t="s">
        <v>83</v>
      </c>
      <c r="B65" s="151"/>
      <c r="C65" s="156"/>
      <c r="D65" s="156"/>
      <c r="E65" s="157"/>
      <c r="F65" s="158">
        <f>SQRT((C65-C66)*(C65-C66)+(D65-D66)*(D65-D66))</f>
        <v>0</v>
      </c>
      <c r="G65" s="155" t="s">
        <v>84</v>
      </c>
      <c r="H65" s="159"/>
      <c r="I65" s="156"/>
      <c r="J65" s="156"/>
      <c r="K65" s="157"/>
      <c r="L65" s="158">
        <f>SQRT((I65-I66)*(I65-I66)+(J65-J66)*(J65-J66))</f>
        <v>0</v>
      </c>
      <c r="M65" s="155" t="s">
        <v>85</v>
      </c>
      <c r="N65" s="151"/>
      <c r="O65" s="156"/>
      <c r="P65" s="156"/>
      <c r="Q65" s="157"/>
      <c r="R65" s="158">
        <f>SQRT((O65-O66)*(O65-O66)+(P65-P66)*(P65-P66))</f>
        <v>0</v>
      </c>
      <c r="S65" s="155" t="s">
        <v>86</v>
      </c>
      <c r="T65" s="151"/>
      <c r="U65" s="160"/>
      <c r="V65" s="160"/>
      <c r="W65" s="160"/>
      <c r="X65" s="158">
        <f>SQRT((U65-U66)*(U65-U66)+(V65-V66)*(V65-V66))</f>
        <v>0</v>
      </c>
    </row>
    <row r="66" spans="1:24" ht="20.100000000000001" customHeight="1">
      <c r="A66" s="162"/>
      <c r="B66" s="151"/>
      <c r="C66" s="156"/>
      <c r="D66" s="156"/>
      <c r="E66" s="157"/>
      <c r="F66" s="163"/>
      <c r="G66" s="162"/>
      <c r="H66" s="151"/>
      <c r="I66" s="156"/>
      <c r="J66" s="156"/>
      <c r="K66" s="157"/>
      <c r="L66" s="163"/>
      <c r="M66" s="162"/>
      <c r="N66" s="151"/>
      <c r="O66" s="156"/>
      <c r="P66" s="156"/>
      <c r="Q66" s="157"/>
      <c r="R66" s="163"/>
      <c r="S66" s="162"/>
      <c r="T66" s="151"/>
      <c r="U66" s="160"/>
      <c r="V66" s="160"/>
      <c r="W66" s="160"/>
      <c r="X66" s="163"/>
    </row>
    <row r="67" spans="1:24" ht="20.100000000000001" customHeight="1">
      <c r="A67" s="169"/>
      <c r="B67" s="167"/>
      <c r="C67" s="167"/>
      <c r="D67" s="167"/>
      <c r="E67" s="167"/>
      <c r="F67" s="167"/>
      <c r="G67" s="167"/>
      <c r="H67" s="167"/>
      <c r="I67" s="167"/>
      <c r="J67" s="167"/>
      <c r="K67" s="167"/>
      <c r="L67" s="167"/>
      <c r="M67" s="167"/>
      <c r="N67" s="167"/>
      <c r="O67" s="167"/>
      <c r="P67" s="167"/>
      <c r="Q67" s="167"/>
      <c r="R67" s="167"/>
      <c r="S67" s="167"/>
      <c r="T67" s="167"/>
      <c r="U67" s="167"/>
      <c r="V67" s="167"/>
      <c r="W67" s="167"/>
      <c r="X67" s="168"/>
    </row>
    <row r="68" spans="1:24" ht="20.100000000000001" customHeight="1">
      <c r="A68" s="169"/>
      <c r="B68" s="167"/>
      <c r="C68" s="167"/>
      <c r="D68" s="167"/>
      <c r="E68" s="167"/>
      <c r="F68" s="167"/>
      <c r="G68" s="167"/>
      <c r="H68" s="167"/>
      <c r="I68" s="167"/>
      <c r="J68" s="167"/>
      <c r="K68" s="167"/>
      <c r="L68" s="167"/>
      <c r="M68" s="167"/>
      <c r="N68" s="167"/>
      <c r="O68" s="167"/>
      <c r="P68" s="167"/>
      <c r="Q68" s="167"/>
      <c r="R68" s="167"/>
      <c r="S68" s="167"/>
      <c r="T68" s="167"/>
      <c r="U68" s="167"/>
      <c r="V68" s="167"/>
      <c r="W68" s="167"/>
      <c r="X68" s="168"/>
    </row>
    <row r="69" spans="1:24" ht="20.100000000000001" customHeight="1">
      <c r="A69" s="169"/>
      <c r="B69" s="167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7"/>
      <c r="W69" s="167"/>
      <c r="X69" s="168"/>
    </row>
    <row r="70" spans="1:24" ht="20.100000000000001" customHeight="1">
      <c r="A70" s="169"/>
      <c r="B70" s="167"/>
      <c r="C70" s="167"/>
      <c r="D70" s="167"/>
      <c r="E70" s="167"/>
      <c r="F70" s="167"/>
      <c r="G70" s="167"/>
      <c r="H70" s="167"/>
      <c r="I70" s="167"/>
      <c r="J70" s="167"/>
      <c r="K70" s="167"/>
      <c r="L70" s="167"/>
      <c r="M70" s="167"/>
      <c r="N70" s="167"/>
      <c r="O70" s="167"/>
      <c r="P70" s="167"/>
      <c r="Q70" s="167"/>
      <c r="R70" s="167"/>
      <c r="S70" s="167"/>
      <c r="T70" s="167"/>
      <c r="U70" s="167"/>
      <c r="V70" s="167"/>
      <c r="W70" s="167"/>
      <c r="X70" s="168"/>
    </row>
    <row r="71" spans="1:24" ht="20.100000000000001" customHeight="1">
      <c r="A71" s="169"/>
      <c r="B71" s="167"/>
      <c r="C71" s="167"/>
      <c r="D71" s="167"/>
      <c r="E71" s="167"/>
      <c r="F71" s="167"/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7"/>
      <c r="S71" s="167"/>
      <c r="T71" s="167"/>
      <c r="U71" s="167"/>
      <c r="V71" s="167"/>
      <c r="W71" s="167"/>
      <c r="X71" s="168"/>
    </row>
    <row r="72" spans="1:24" ht="20.100000000000001" customHeight="1">
      <c r="A72" s="169"/>
      <c r="B72" s="167"/>
      <c r="C72" s="167"/>
      <c r="D72" s="167"/>
      <c r="E72" s="167"/>
      <c r="F72" s="167"/>
      <c r="G72" s="167"/>
      <c r="H72" s="167"/>
      <c r="I72" s="167"/>
      <c r="J72" s="167"/>
      <c r="K72" s="167"/>
      <c r="L72" s="167"/>
      <c r="M72" s="167"/>
      <c r="N72" s="167"/>
      <c r="O72" s="167"/>
      <c r="P72" s="167"/>
      <c r="Q72" s="167"/>
      <c r="R72" s="167"/>
      <c r="S72" s="167"/>
      <c r="T72" s="167"/>
      <c r="U72" s="167"/>
      <c r="V72" s="167"/>
      <c r="W72" s="167"/>
      <c r="X72" s="168"/>
    </row>
    <row r="73" spans="1:24" ht="20.100000000000001" customHeight="1">
      <c r="A73" s="169"/>
      <c r="B73" s="167"/>
      <c r="C73" s="167"/>
      <c r="D73" s="167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67"/>
      <c r="S73" s="167"/>
      <c r="T73" s="167"/>
      <c r="U73" s="167"/>
      <c r="V73" s="167"/>
      <c r="W73" s="167"/>
      <c r="X73" s="168"/>
    </row>
    <row r="74" spans="1:24" ht="20.100000000000001" customHeight="1">
      <c r="A74" s="169"/>
      <c r="B74" s="167"/>
      <c r="C74" s="167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8"/>
    </row>
    <row r="75" spans="1:24" ht="20.100000000000001" customHeight="1">
      <c r="A75" s="169"/>
      <c r="B75" s="167"/>
      <c r="C75" s="167"/>
      <c r="D75" s="167"/>
      <c r="E75" s="167"/>
      <c r="F75" s="167"/>
      <c r="G75" s="167"/>
      <c r="H75" s="167"/>
      <c r="I75" s="167"/>
      <c r="J75" s="167"/>
      <c r="K75" s="167"/>
      <c r="L75" s="167"/>
      <c r="M75" s="167"/>
      <c r="N75" s="167"/>
      <c r="O75" s="167"/>
      <c r="P75" s="167"/>
      <c r="Q75" s="167"/>
      <c r="R75" s="167"/>
      <c r="S75" s="167"/>
      <c r="T75" s="167"/>
      <c r="U75" s="167"/>
      <c r="V75" s="167"/>
      <c r="W75" s="167"/>
      <c r="X75" s="168"/>
    </row>
    <row r="76" spans="1:24" ht="20.100000000000001" customHeight="1">
      <c r="A76" s="169"/>
      <c r="B76" s="167"/>
      <c r="C76" s="167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T76" s="167"/>
      <c r="U76" s="167"/>
      <c r="V76" s="167"/>
      <c r="W76" s="167"/>
      <c r="X76" s="168"/>
    </row>
    <row r="77" spans="1:24" ht="20.100000000000001" customHeight="1">
      <c r="A77" s="169"/>
      <c r="B77" s="167"/>
      <c r="C77" s="167"/>
      <c r="D77" s="167"/>
      <c r="E77" s="167"/>
      <c r="F77" s="167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4"/>
    </row>
    <row r="78" spans="1:24" ht="20.100000000000001" customHeight="1">
      <c r="A78" s="148" t="s">
        <v>74</v>
      </c>
      <c r="B78" s="149"/>
      <c r="C78" s="149"/>
      <c r="D78" s="149"/>
      <c r="E78" s="149"/>
      <c r="F78" s="150"/>
      <c r="G78" s="148" t="s">
        <v>69</v>
      </c>
      <c r="H78" s="149"/>
      <c r="I78" s="149"/>
      <c r="J78" s="149"/>
      <c r="K78" s="149"/>
      <c r="L78" s="150"/>
      <c r="M78" s="148" t="s">
        <v>69</v>
      </c>
      <c r="N78" s="149"/>
      <c r="O78" s="149"/>
      <c r="P78" s="149"/>
      <c r="Q78" s="149"/>
      <c r="R78" s="150"/>
      <c r="S78" s="148" t="s">
        <v>69</v>
      </c>
      <c r="T78" s="149"/>
      <c r="U78" s="149"/>
      <c r="V78" s="149"/>
      <c r="W78" s="149"/>
      <c r="X78" s="150"/>
    </row>
    <row r="79" spans="1:24" ht="20.100000000000001" customHeight="1">
      <c r="A79" s="151" t="s">
        <v>54</v>
      </c>
      <c r="B79" s="151" t="s">
        <v>60</v>
      </c>
      <c r="C79" s="151" t="s">
        <v>61</v>
      </c>
      <c r="D79" s="152" t="s">
        <v>57</v>
      </c>
      <c r="E79" s="153" t="s">
        <v>58</v>
      </c>
      <c r="F79" s="154" t="s">
        <v>59</v>
      </c>
      <c r="G79" s="151" t="s">
        <v>54</v>
      </c>
      <c r="H79" s="151" t="s">
        <v>60</v>
      </c>
      <c r="I79" s="151" t="s">
        <v>61</v>
      </c>
      <c r="J79" s="152" t="s">
        <v>57</v>
      </c>
      <c r="K79" s="153" t="s">
        <v>58</v>
      </c>
      <c r="L79" s="154" t="s">
        <v>59</v>
      </c>
      <c r="M79" s="151" t="s">
        <v>54</v>
      </c>
      <c r="N79" s="151" t="s">
        <v>60</v>
      </c>
      <c r="O79" s="151" t="s">
        <v>61</v>
      </c>
      <c r="P79" s="152" t="s">
        <v>57</v>
      </c>
      <c r="Q79" s="153" t="s">
        <v>58</v>
      </c>
      <c r="R79" s="154" t="s">
        <v>59</v>
      </c>
      <c r="S79" s="151" t="s">
        <v>54</v>
      </c>
      <c r="T79" s="151" t="s">
        <v>60</v>
      </c>
      <c r="U79" s="151" t="s">
        <v>61</v>
      </c>
      <c r="V79" s="152" t="s">
        <v>57</v>
      </c>
      <c r="W79" s="153" t="s">
        <v>58</v>
      </c>
      <c r="X79" s="154" t="s">
        <v>59</v>
      </c>
    </row>
    <row r="80" spans="1:24" ht="20.100000000000001" customHeight="1">
      <c r="A80" s="155" t="s">
        <v>87</v>
      </c>
      <c r="B80" s="151"/>
      <c r="C80" s="156"/>
      <c r="D80" s="156"/>
      <c r="E80" s="157"/>
      <c r="F80" s="158">
        <f>SQRT((C80-C81)*(C80-C81)+(D80-D81)*(D80-D81))</f>
        <v>0</v>
      </c>
      <c r="G80" s="155" t="s">
        <v>88</v>
      </c>
      <c r="H80" s="159"/>
      <c r="I80" s="156"/>
      <c r="J80" s="156"/>
      <c r="K80" s="157"/>
      <c r="L80" s="158">
        <f>SQRT((I80-I81)*(I80-I81)+(J80-J81)*(J80-J81))</f>
        <v>0</v>
      </c>
      <c r="M80" s="155" t="s">
        <v>89</v>
      </c>
      <c r="N80" s="151"/>
      <c r="O80" s="156"/>
      <c r="P80" s="156"/>
      <c r="Q80" s="157"/>
      <c r="R80" s="158">
        <f>SQRT((O80-O81)*(O80-O81)+(P80-P81)*(P80-P81))</f>
        <v>0</v>
      </c>
      <c r="S80" s="155" t="s">
        <v>90</v>
      </c>
      <c r="T80" s="151"/>
      <c r="U80" s="160"/>
      <c r="V80" s="160"/>
      <c r="W80" s="160"/>
      <c r="X80" s="158">
        <f>SQRT((U80-U81)*(U80-U81)+(V80-V81)*(V80-V81))</f>
        <v>0</v>
      </c>
    </row>
    <row r="81" spans="1:24" ht="20.100000000000001" customHeight="1">
      <c r="A81" s="162"/>
      <c r="B81" s="151"/>
      <c r="C81" s="156"/>
      <c r="D81" s="156"/>
      <c r="E81" s="157"/>
      <c r="F81" s="163"/>
      <c r="G81" s="162"/>
      <c r="H81" s="151"/>
      <c r="I81" s="156"/>
      <c r="J81" s="156"/>
      <c r="K81" s="157"/>
      <c r="L81" s="163"/>
      <c r="M81" s="162"/>
      <c r="N81" s="151"/>
      <c r="O81" s="156"/>
      <c r="P81" s="156"/>
      <c r="Q81" s="157"/>
      <c r="R81" s="163"/>
      <c r="S81" s="162"/>
      <c r="T81" s="151"/>
      <c r="U81" s="160"/>
      <c r="V81" s="160"/>
      <c r="W81" s="160"/>
      <c r="X81" s="163"/>
    </row>
    <row r="82" spans="1:24" ht="20.100000000000001" customHeight="1">
      <c r="A82" s="169"/>
      <c r="B82" s="167"/>
      <c r="C82" s="167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67"/>
      <c r="R82" s="167"/>
      <c r="S82" s="167"/>
      <c r="T82" s="167"/>
      <c r="U82" s="167"/>
      <c r="V82" s="167"/>
      <c r="W82" s="167"/>
      <c r="X82" s="168"/>
    </row>
    <row r="83" spans="1:24" ht="20.100000000000001" customHeight="1">
      <c r="A83" s="169"/>
      <c r="B83" s="167"/>
      <c r="C83" s="167"/>
      <c r="D83" s="167"/>
      <c r="E83" s="167"/>
      <c r="F83" s="167"/>
      <c r="G83" s="167"/>
      <c r="H83" s="167"/>
      <c r="I83" s="167"/>
      <c r="J83" s="167"/>
      <c r="K83" s="167"/>
      <c r="L83" s="167"/>
      <c r="M83" s="167"/>
      <c r="N83" s="167"/>
      <c r="O83" s="167"/>
      <c r="P83" s="167"/>
      <c r="Q83" s="167"/>
      <c r="R83" s="167"/>
      <c r="S83" s="167"/>
      <c r="T83" s="167"/>
      <c r="U83" s="167"/>
      <c r="V83" s="167"/>
      <c r="W83" s="167"/>
      <c r="X83" s="168"/>
    </row>
    <row r="84" spans="1:24" ht="20.100000000000001" customHeight="1">
      <c r="A84" s="169"/>
      <c r="B84" s="167"/>
      <c r="C84" s="167"/>
      <c r="D84" s="167"/>
      <c r="E84" s="167"/>
      <c r="F84" s="167"/>
      <c r="G84" s="167"/>
      <c r="H84" s="167"/>
      <c r="I84" s="167"/>
      <c r="J84" s="167"/>
      <c r="K84" s="167"/>
      <c r="L84" s="167"/>
      <c r="M84" s="167"/>
      <c r="N84" s="167"/>
      <c r="O84" s="167"/>
      <c r="P84" s="167"/>
      <c r="Q84" s="167"/>
      <c r="R84" s="167"/>
      <c r="S84" s="167"/>
      <c r="T84" s="167"/>
      <c r="U84" s="167"/>
      <c r="V84" s="167"/>
      <c r="W84" s="167"/>
      <c r="X84" s="168"/>
    </row>
    <row r="85" spans="1:24" ht="20.100000000000001" customHeight="1">
      <c r="A85" s="169"/>
      <c r="B85" s="167"/>
      <c r="C85" s="167"/>
      <c r="D85" s="167"/>
      <c r="E85" s="167"/>
      <c r="F85" s="167"/>
      <c r="G85" s="167"/>
      <c r="H85" s="167"/>
      <c r="I85" s="167"/>
      <c r="J85" s="167"/>
      <c r="K85" s="167"/>
      <c r="L85" s="167"/>
      <c r="M85" s="167"/>
      <c r="N85" s="167"/>
      <c r="O85" s="167"/>
      <c r="P85" s="167"/>
      <c r="Q85" s="167"/>
      <c r="R85" s="167"/>
      <c r="S85" s="167"/>
      <c r="T85" s="167"/>
      <c r="U85" s="167"/>
      <c r="V85" s="167"/>
      <c r="W85" s="167"/>
      <c r="X85" s="168"/>
    </row>
    <row r="86" spans="1:24" ht="20.100000000000001" customHeight="1">
      <c r="A86" s="169"/>
      <c r="B86" s="167"/>
      <c r="C86" s="167"/>
      <c r="D86" s="167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8"/>
    </row>
    <row r="87" spans="1:24" ht="20.100000000000001" customHeight="1">
      <c r="A87" s="169"/>
      <c r="B87" s="167"/>
      <c r="C87" s="167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67"/>
      <c r="R87" s="167"/>
      <c r="S87" s="167"/>
      <c r="T87" s="167"/>
      <c r="U87" s="167"/>
      <c r="V87" s="167"/>
      <c r="W87" s="167"/>
      <c r="X87" s="168"/>
    </row>
    <row r="88" spans="1:24" ht="20.100000000000001" customHeight="1">
      <c r="A88" s="169"/>
      <c r="B88" s="167"/>
      <c r="C88" s="167"/>
      <c r="D88" s="167"/>
      <c r="E88" s="167"/>
      <c r="F88" s="167"/>
      <c r="G88" s="167"/>
      <c r="H88" s="167"/>
      <c r="I88" s="167"/>
      <c r="J88" s="167"/>
      <c r="K88" s="167"/>
      <c r="L88" s="167"/>
      <c r="M88" s="167"/>
      <c r="N88" s="167"/>
      <c r="O88" s="167"/>
      <c r="P88" s="167"/>
      <c r="Q88" s="167"/>
      <c r="R88" s="167"/>
      <c r="S88" s="167"/>
      <c r="T88" s="167"/>
      <c r="U88" s="167"/>
      <c r="V88" s="167"/>
      <c r="W88" s="167"/>
      <c r="X88" s="168"/>
    </row>
    <row r="89" spans="1:24" ht="20.100000000000001" customHeight="1">
      <c r="A89" s="169"/>
      <c r="B89" s="167"/>
      <c r="C89" s="167"/>
      <c r="D89" s="167"/>
      <c r="E89" s="167"/>
      <c r="F89" s="167"/>
      <c r="G89" s="167"/>
      <c r="H89" s="167"/>
      <c r="I89" s="167"/>
      <c r="J89" s="167"/>
      <c r="K89" s="167"/>
      <c r="L89" s="167"/>
      <c r="M89" s="167"/>
      <c r="N89" s="167"/>
      <c r="O89" s="167"/>
      <c r="P89" s="167"/>
      <c r="Q89" s="167"/>
      <c r="R89" s="167"/>
      <c r="S89" s="167"/>
      <c r="T89" s="167"/>
      <c r="U89" s="167"/>
      <c r="V89" s="167"/>
      <c r="W89" s="167"/>
      <c r="X89" s="168"/>
    </row>
    <row r="90" spans="1:24" ht="20.100000000000001" customHeight="1">
      <c r="A90" s="169"/>
      <c r="B90" s="167"/>
      <c r="C90" s="167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67"/>
      <c r="R90" s="167"/>
      <c r="S90" s="167"/>
      <c r="T90" s="167"/>
      <c r="U90" s="167"/>
      <c r="V90" s="167"/>
      <c r="W90" s="167"/>
      <c r="X90" s="168"/>
    </row>
    <row r="91" spans="1:24" ht="20.100000000000001" customHeight="1">
      <c r="A91" s="169"/>
      <c r="B91" s="167"/>
      <c r="C91" s="167"/>
      <c r="D91" s="167"/>
      <c r="E91" s="167"/>
      <c r="F91" s="167"/>
      <c r="G91" s="167"/>
      <c r="H91" s="167"/>
      <c r="I91" s="167"/>
      <c r="J91" s="167"/>
      <c r="K91" s="167"/>
      <c r="L91" s="167"/>
      <c r="M91" s="167"/>
      <c r="N91" s="167"/>
      <c r="O91" s="167"/>
      <c r="P91" s="167"/>
      <c r="Q91" s="167"/>
      <c r="R91" s="167"/>
      <c r="S91" s="167"/>
      <c r="T91" s="167"/>
      <c r="U91" s="167"/>
      <c r="V91" s="167"/>
      <c r="W91" s="167"/>
      <c r="X91" s="168"/>
    </row>
    <row r="92" spans="1:24" ht="20.100000000000001" customHeight="1">
      <c r="A92" s="169"/>
      <c r="B92" s="167"/>
      <c r="C92" s="167"/>
      <c r="D92" s="167"/>
      <c r="E92" s="167"/>
      <c r="F92" s="167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4"/>
    </row>
    <row r="93" spans="1:24" ht="20.100000000000001" customHeight="1">
      <c r="A93" s="175" t="s">
        <v>91</v>
      </c>
      <c r="B93" s="176"/>
      <c r="C93" s="176"/>
      <c r="D93" s="177" t="s">
        <v>92</v>
      </c>
      <c r="E93" s="178"/>
      <c r="F93" s="179"/>
      <c r="G93" s="177" t="s">
        <v>93</v>
      </c>
      <c r="H93" s="178"/>
      <c r="I93" s="179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</row>
    <row r="94" spans="1:24" ht="30" customHeight="1">
      <c r="A94" s="181"/>
      <c r="B94" s="182"/>
      <c r="C94" s="183"/>
      <c r="D94" s="184"/>
      <c r="E94" s="185"/>
      <c r="F94" s="186"/>
      <c r="G94" s="187"/>
      <c r="H94" s="185"/>
      <c r="I94" s="186"/>
      <c r="J94" s="188"/>
      <c r="K94" s="189" t="s">
        <v>94</v>
      </c>
      <c r="L94" s="190"/>
      <c r="M94" s="190"/>
      <c r="N94" s="190"/>
      <c r="O94" s="190"/>
      <c r="P94" s="190"/>
      <c r="Q94" s="190"/>
      <c r="R94" s="190"/>
      <c r="S94" s="190"/>
      <c r="T94" s="190"/>
      <c r="U94" s="190"/>
      <c r="V94" s="190"/>
      <c r="W94" s="190"/>
      <c r="X94" s="190"/>
    </row>
  </sheetData>
  <mergeCells count="80">
    <mergeCell ref="M1:X1"/>
    <mergeCell ref="A1:L1"/>
    <mergeCell ref="S80:S81"/>
    <mergeCell ref="X80:X81"/>
    <mergeCell ref="A93:C93"/>
    <mergeCell ref="D93:F93"/>
    <mergeCell ref="G93:I93"/>
    <mergeCell ref="A94:C94"/>
    <mergeCell ref="D94:F94"/>
    <mergeCell ref="G94:I94"/>
    <mergeCell ref="A80:A81"/>
    <mergeCell ref="F80:F81"/>
    <mergeCell ref="G80:G81"/>
    <mergeCell ref="L80:L81"/>
    <mergeCell ref="M80:M81"/>
    <mergeCell ref="R80:R81"/>
    <mergeCell ref="S65:S66"/>
    <mergeCell ref="X65:X66"/>
    <mergeCell ref="A78:F78"/>
    <mergeCell ref="G78:L78"/>
    <mergeCell ref="M78:R78"/>
    <mergeCell ref="S78:X78"/>
    <mergeCell ref="A65:A66"/>
    <mergeCell ref="F65:F66"/>
    <mergeCell ref="G65:G66"/>
    <mergeCell ref="L65:L66"/>
    <mergeCell ref="M65:M66"/>
    <mergeCell ref="R65:R66"/>
    <mergeCell ref="S50:S51"/>
    <mergeCell ref="X50:X51"/>
    <mergeCell ref="A63:F63"/>
    <mergeCell ref="G63:L63"/>
    <mergeCell ref="M63:R63"/>
    <mergeCell ref="S63:X63"/>
    <mergeCell ref="A50:A51"/>
    <mergeCell ref="F50:F51"/>
    <mergeCell ref="G50:G51"/>
    <mergeCell ref="L50:L51"/>
    <mergeCell ref="M50:M51"/>
    <mergeCell ref="R50:R51"/>
    <mergeCell ref="S35:S36"/>
    <mergeCell ref="X35:X36"/>
    <mergeCell ref="A48:F48"/>
    <mergeCell ref="G48:L48"/>
    <mergeCell ref="M48:R48"/>
    <mergeCell ref="S48:X48"/>
    <mergeCell ref="A35:A36"/>
    <mergeCell ref="F35:F36"/>
    <mergeCell ref="G35:G36"/>
    <mergeCell ref="L35:L36"/>
    <mergeCell ref="M35:M36"/>
    <mergeCell ref="R35:R36"/>
    <mergeCell ref="S20:S21"/>
    <mergeCell ref="X20:X21"/>
    <mergeCell ref="A33:F33"/>
    <mergeCell ref="G33:L33"/>
    <mergeCell ref="M33:R33"/>
    <mergeCell ref="S33:X33"/>
    <mergeCell ref="A20:A21"/>
    <mergeCell ref="F20:F21"/>
    <mergeCell ref="G20:G21"/>
    <mergeCell ref="L20:L21"/>
    <mergeCell ref="M20:M21"/>
    <mergeCell ref="R20:R21"/>
    <mergeCell ref="R5:R6"/>
    <mergeCell ref="S5:S6"/>
    <mergeCell ref="X5:X6"/>
    <mergeCell ref="A18:F18"/>
    <mergeCell ref="G18:L18"/>
    <mergeCell ref="M18:R18"/>
    <mergeCell ref="S18:X18"/>
    <mergeCell ref="A3:F3"/>
    <mergeCell ref="G3:L3"/>
    <mergeCell ref="M3:R3"/>
    <mergeCell ref="S3:X3"/>
    <mergeCell ref="A5:A6"/>
    <mergeCell ref="F5:F6"/>
    <mergeCell ref="G5:G6"/>
    <mergeCell ref="L5:L6"/>
    <mergeCell ref="M5:M6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MeasureReport-1.1</vt:lpstr>
      <vt:lpstr>SurfaceAccuracy-1</vt:lpstr>
      <vt:lpstr>Decenter</vt:lpstr>
      <vt:lpstr>'SurfaceAccuracy-1'!Print_Area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2025-01-13T03:48:06Z</dcterms:modified>
</cp:coreProperties>
</file>
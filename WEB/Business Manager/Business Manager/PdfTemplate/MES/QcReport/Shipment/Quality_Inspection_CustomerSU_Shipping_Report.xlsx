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gram\系統開發\BM\量測報表\"/>
    </mc:Choice>
  </mc:AlternateContent>
  <bookViews>
    <workbookView xWindow="0" yWindow="0" windowWidth="20490" windowHeight="7605"/>
  </bookViews>
  <sheets>
    <sheet name="MeasureReport-1.1" sheetId="1" r:id="rId1"/>
    <sheet name="SurfaceAccuracy-1" sheetId="2" r:id="rId2"/>
  </sheets>
  <externalReferences>
    <externalReference r:id="rId3"/>
  </externalReferences>
  <definedNames>
    <definedName name="Excel_BuiltIn__FilterDatabase_2" localSheetId="1">#REF!</definedName>
    <definedName name="Excel_BuiltIn__FilterDatabase_2">#REF!</definedName>
    <definedName name="_xlnm.Print_Area" localSheetId="0">'MeasureReport-1.1'!$A$1:$AG$53</definedName>
    <definedName name="_xlnm.Print_Area" localSheetId="1">'SurfaceAccuracy-1'!$A$1:$AO$18</definedName>
    <definedName name="口徑">[1]DATA!$AC$99:$AC$101</definedName>
    <definedName name="出貨檢">[1]DATA!$AA$99:$AA$100</definedName>
    <definedName name="旋轉模仁">[1]DATA!$V$99:$V$100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AH46" i="1" l="1"/>
  <c r="AE46" i="1"/>
  <c r="AG46" i="1" s="1"/>
  <c r="AF46" i="1"/>
  <c r="AH50" i="1" l="1"/>
  <c r="AF50" i="1"/>
  <c r="AE50" i="1"/>
  <c r="I50" i="1"/>
  <c r="H50" i="1"/>
  <c r="AH49" i="1"/>
  <c r="AF49" i="1"/>
  <c r="AE49" i="1"/>
  <c r="I49" i="1"/>
  <c r="H49" i="1"/>
  <c r="AH48" i="1"/>
  <c r="AF48" i="1"/>
  <c r="AE48" i="1"/>
  <c r="I48" i="1"/>
  <c r="H48" i="1"/>
  <c r="AH47" i="1"/>
  <c r="AF47" i="1"/>
  <c r="AE47" i="1"/>
  <c r="I47" i="1"/>
  <c r="H47" i="1"/>
  <c r="I46" i="1"/>
  <c r="H46" i="1"/>
  <c r="AH45" i="1"/>
  <c r="AF45" i="1"/>
  <c r="AE45" i="1"/>
  <c r="I45" i="1"/>
  <c r="H45" i="1"/>
  <c r="AH44" i="1"/>
  <c r="AF44" i="1"/>
  <c r="AE44" i="1"/>
  <c r="I44" i="1"/>
  <c r="H44" i="1"/>
  <c r="AH43" i="1"/>
  <c r="AF43" i="1"/>
  <c r="AE43" i="1"/>
  <c r="I43" i="1"/>
  <c r="H43" i="1"/>
  <c r="AH42" i="1"/>
  <c r="AF42" i="1"/>
  <c r="AE42" i="1"/>
  <c r="I42" i="1"/>
  <c r="H42" i="1"/>
  <c r="AH41" i="1"/>
  <c r="AF41" i="1"/>
  <c r="AE41" i="1"/>
  <c r="I41" i="1"/>
  <c r="H41" i="1"/>
  <c r="AH40" i="1"/>
  <c r="AF40" i="1"/>
  <c r="AE40" i="1"/>
  <c r="I40" i="1"/>
  <c r="H40" i="1"/>
  <c r="AH39" i="1"/>
  <c r="AF39" i="1"/>
  <c r="AE39" i="1"/>
  <c r="I39" i="1"/>
  <c r="H39" i="1"/>
  <c r="AH38" i="1"/>
  <c r="AF38" i="1"/>
  <c r="AE38" i="1"/>
  <c r="I38" i="1"/>
  <c r="H38" i="1"/>
  <c r="AH37" i="1"/>
  <c r="AF37" i="1"/>
  <c r="AE37" i="1"/>
  <c r="I37" i="1"/>
  <c r="H37" i="1"/>
  <c r="AH36" i="1"/>
  <c r="AF36" i="1"/>
  <c r="AE36" i="1"/>
  <c r="I36" i="1"/>
  <c r="H36" i="1"/>
  <c r="AH35" i="1"/>
  <c r="AF35" i="1"/>
  <c r="AE35" i="1"/>
  <c r="I35" i="1"/>
  <c r="H35" i="1"/>
  <c r="AH34" i="1"/>
  <c r="AF34" i="1"/>
  <c r="AE34" i="1"/>
  <c r="I34" i="1"/>
  <c r="H34" i="1"/>
  <c r="AH33" i="1"/>
  <c r="AF33" i="1"/>
  <c r="AE33" i="1"/>
  <c r="I33" i="1"/>
  <c r="H33" i="1"/>
  <c r="AH32" i="1"/>
  <c r="AF32" i="1"/>
  <c r="AE32" i="1"/>
  <c r="I32" i="1"/>
  <c r="H32" i="1"/>
  <c r="AH31" i="1"/>
  <c r="AF31" i="1"/>
  <c r="AE31" i="1"/>
  <c r="I31" i="1"/>
  <c r="H31" i="1"/>
  <c r="AH30" i="1"/>
  <c r="AF30" i="1"/>
  <c r="AE30" i="1"/>
  <c r="I30" i="1"/>
  <c r="H30" i="1"/>
  <c r="AH29" i="1"/>
  <c r="AF29" i="1"/>
  <c r="AE29" i="1"/>
  <c r="I29" i="1"/>
  <c r="H29" i="1"/>
  <c r="AH28" i="1"/>
  <c r="AF28" i="1"/>
  <c r="AE28" i="1"/>
  <c r="I28" i="1"/>
  <c r="H28" i="1"/>
  <c r="AH27" i="1"/>
  <c r="AF27" i="1"/>
  <c r="AE27" i="1"/>
  <c r="AG27" i="1" s="1"/>
  <c r="I27" i="1"/>
  <c r="H27" i="1"/>
  <c r="AH26" i="1"/>
  <c r="AF26" i="1"/>
  <c r="AE26" i="1"/>
  <c r="I26" i="1"/>
  <c r="H26" i="1"/>
  <c r="AH25" i="1"/>
  <c r="AF25" i="1"/>
  <c r="AE25" i="1"/>
  <c r="I25" i="1"/>
  <c r="H25" i="1"/>
  <c r="I24" i="1"/>
  <c r="H24" i="1"/>
  <c r="AH23" i="1"/>
  <c r="AF23" i="1"/>
  <c r="AE23" i="1"/>
  <c r="AG23" i="1" s="1"/>
  <c r="I23" i="1"/>
  <c r="H23" i="1"/>
  <c r="AH22" i="1"/>
  <c r="AF22" i="1"/>
  <c r="AE22" i="1"/>
  <c r="AG22" i="1" s="1"/>
  <c r="I22" i="1"/>
  <c r="H22" i="1"/>
  <c r="AH21" i="1"/>
  <c r="AF21" i="1"/>
  <c r="AE21" i="1"/>
  <c r="AG21" i="1" s="1"/>
  <c r="I21" i="1"/>
  <c r="H21" i="1"/>
  <c r="AH20" i="1"/>
  <c r="AF20" i="1"/>
  <c r="AE20" i="1"/>
  <c r="I20" i="1"/>
  <c r="H20" i="1"/>
  <c r="AH19" i="1"/>
  <c r="AF19" i="1"/>
  <c r="AE19" i="1"/>
  <c r="AG19" i="1" s="1"/>
  <c r="I19" i="1"/>
  <c r="H19" i="1"/>
  <c r="AH18" i="1"/>
  <c r="AF18" i="1"/>
  <c r="AE18" i="1"/>
  <c r="I18" i="1"/>
  <c r="H18" i="1"/>
  <c r="AH17" i="1"/>
  <c r="AF17" i="1"/>
  <c r="AE17" i="1"/>
  <c r="AG17" i="1" s="1"/>
  <c r="I17" i="1"/>
  <c r="H17" i="1"/>
  <c r="AH16" i="1"/>
  <c r="AF16" i="1"/>
  <c r="AE16" i="1"/>
  <c r="I16" i="1"/>
  <c r="H16" i="1"/>
  <c r="AH15" i="1"/>
  <c r="AF15" i="1"/>
  <c r="AE15" i="1"/>
  <c r="I15" i="1"/>
  <c r="H15" i="1"/>
  <c r="AH14" i="1"/>
  <c r="AF14" i="1"/>
  <c r="AE14" i="1"/>
  <c r="I14" i="1"/>
  <c r="H14" i="1"/>
  <c r="AH13" i="1"/>
  <c r="AF13" i="1"/>
  <c r="AE13" i="1"/>
  <c r="AG13" i="1" s="1"/>
  <c r="I13" i="1"/>
  <c r="H13" i="1"/>
  <c r="AH12" i="1"/>
  <c r="AF12" i="1"/>
  <c r="AE12" i="1"/>
  <c r="I12" i="1"/>
  <c r="H12" i="1"/>
  <c r="AH11" i="1"/>
  <c r="AF11" i="1"/>
  <c r="AE11" i="1"/>
  <c r="I11" i="1"/>
  <c r="H11" i="1"/>
  <c r="AH10" i="1"/>
  <c r="AF10" i="1"/>
  <c r="AE10" i="1"/>
  <c r="I10" i="1"/>
  <c r="H10" i="1"/>
  <c r="AH9" i="1"/>
  <c r="AF9" i="1"/>
  <c r="AE9" i="1"/>
  <c r="I9" i="1"/>
  <c r="H9" i="1"/>
  <c r="AH8" i="1"/>
  <c r="AF8" i="1"/>
  <c r="AE8" i="1"/>
  <c r="I8" i="1"/>
  <c r="H8" i="1"/>
  <c r="AH7" i="1"/>
  <c r="AF7" i="1"/>
  <c r="AE7" i="1"/>
  <c r="AG7" i="1" s="1"/>
  <c r="I7" i="1"/>
  <c r="H7" i="1"/>
  <c r="AH6" i="1"/>
  <c r="AF6" i="1"/>
  <c r="AE6" i="1"/>
  <c r="AG6" i="1" s="1"/>
  <c r="I6" i="1"/>
  <c r="H6" i="1"/>
  <c r="AH5" i="1"/>
  <c r="AF5" i="1"/>
  <c r="AE5" i="1"/>
  <c r="AG5" i="1" s="1"/>
  <c r="I5" i="1"/>
  <c r="H5" i="1"/>
  <c r="AF4" i="1"/>
  <c r="AE4" i="1"/>
  <c r="I4" i="1"/>
  <c r="H4" i="1"/>
  <c r="Q2" i="1"/>
  <c r="AH4" i="1"/>
  <c r="AG31" i="1" l="1"/>
  <c r="AG39" i="1"/>
  <c r="AG43" i="1"/>
  <c r="AG47" i="1"/>
  <c r="AG14" i="1"/>
  <c r="AG26" i="1"/>
  <c r="AG50" i="1"/>
  <c r="AG11" i="1"/>
  <c r="AG42" i="1"/>
  <c r="AG34" i="1"/>
  <c r="AG30" i="1"/>
  <c r="AG15" i="1"/>
  <c r="AG9" i="1"/>
  <c r="AG35" i="1"/>
  <c r="AG38" i="1"/>
  <c r="AG28" i="1"/>
  <c r="AG32" i="1"/>
  <c r="AG36" i="1"/>
  <c r="AG40" i="1"/>
  <c r="AG44" i="1"/>
  <c r="AG48" i="1"/>
  <c r="AG4" i="1"/>
  <c r="AG12" i="1"/>
  <c r="AG20" i="1"/>
  <c r="AG10" i="1"/>
  <c r="AG18" i="1"/>
  <c r="AG25" i="1"/>
  <c r="AG29" i="1"/>
  <c r="AG33" i="1"/>
  <c r="AG37" i="1"/>
  <c r="AG41" i="1"/>
  <c r="AG45" i="1"/>
  <c r="AG49" i="1"/>
  <c r="AG8" i="1"/>
  <c r="AG16" i="1"/>
  <c r="AF24" i="1"/>
  <c r="AE24" i="1"/>
  <c r="AH24" i="1"/>
  <c r="AG24" i="1" l="1"/>
</calcChain>
</file>

<file path=xl/sharedStrings.xml><?xml version="1.0" encoding="utf-8"?>
<sst xmlns="http://schemas.openxmlformats.org/spreadsheetml/2006/main" count="24" uniqueCount="24">
  <si>
    <t>序号</t>
    <phoneticPr fontId="5" type="noConversion"/>
  </si>
  <si>
    <t>客户名称</t>
  </si>
  <si>
    <t>舜宇</t>
    <phoneticPr fontId="2" type="noConversion"/>
  </si>
  <si>
    <t>图号</t>
    <phoneticPr fontId="2" type="noConversion"/>
  </si>
  <si>
    <t>版本号</t>
    <phoneticPr fontId="2" type="noConversion"/>
  </si>
  <si>
    <t>数 量</t>
    <phoneticPr fontId="2" type="noConversion"/>
  </si>
  <si>
    <t>Pcs</t>
    <phoneticPr fontId="2" type="noConversion"/>
  </si>
  <si>
    <t>审 核</t>
    <phoneticPr fontId="2" type="noConversion"/>
  </si>
  <si>
    <t>检 测</t>
    <phoneticPr fontId="2" type="noConversion"/>
  </si>
  <si>
    <t>班次</t>
    <phoneticPr fontId="2" type="noConversion"/>
  </si>
  <si>
    <t>版本號</t>
    <phoneticPr fontId="2" type="noConversion"/>
  </si>
  <si>
    <t>日期</t>
    <phoneticPr fontId="2" type="noConversion"/>
  </si>
  <si>
    <t>检测项目</t>
    <phoneticPr fontId="6" type="noConversion"/>
  </si>
  <si>
    <t>测试设备</t>
    <phoneticPr fontId="5" type="noConversion"/>
  </si>
  <si>
    <t>设计值</t>
  </si>
  <si>
    <t>上限</t>
  </si>
  <si>
    <t>下限</t>
  </si>
  <si>
    <t>max</t>
    <phoneticPr fontId="2" type="noConversion"/>
  </si>
  <si>
    <t>min</t>
    <phoneticPr fontId="2" type="noConversion"/>
  </si>
  <si>
    <t>range</t>
    <phoneticPr fontId="2" type="noConversion"/>
  </si>
  <si>
    <t>判定</t>
    <phoneticPr fontId="2" type="noConversion"/>
  </si>
  <si>
    <t>量 具：  A-高度计   B:三次元测量仪   C:深度测量仪   D:游标卡尺   E:工具显微镜   F:外测分厘卡   G:内测分厘卡   H:块规   I:塞规   J:校表   K:投影仪   L:厚度计   M:偏芯检测仪   N:实体显微镜   O:HQV   U:UA3P   P:真圆度仪   Q:ZYGO   R:显微镜   S:其它量具</t>
    <phoneticPr fontId="5" type="noConversion"/>
  </si>
  <si>
    <t>备注：</t>
  </si>
  <si>
    <t>面型 / 外觀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</si>
</sst>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"/>
    <numFmt numFmtId="178" formatCode="_ * #,##0.0000_ ;_ * \-#,##0.0000_ ;_ * \-_ ;_ @_ "/>
    <numFmt numFmtId="180" formatCode="m/d;@"/>
  </numFmts>
  <fonts count="21"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3"/>
      <charset val="134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3"/>
      <charset val="134"/>
      <scheme val="minor"/>
    </font>
    <font>
      <sz val="13"/>
      <name val="微软雅黑"/>
      <family val="2"/>
      <charset val="134"/>
    </font>
    <font>
      <sz val="9"/>
      <name val="等线"/>
      <family val="3"/>
      <charset val="134"/>
    </font>
    <font>
      <sz val="9"/>
      <name val="微軟正黑體"/>
      <family val="2"/>
      <charset val="136"/>
    </font>
    <font>
      <sz val="10"/>
      <name val="微软雅黑"/>
      <family val="2"/>
      <charset val="134"/>
    </font>
    <font>
      <sz val="14"/>
      <name val="微软雅黑"/>
      <family val="2"/>
      <charset val="134"/>
    </font>
    <font>
      <sz val="16"/>
      <color rgb="FF000000"/>
      <name val="微軟正黑體"/>
      <family val="2"/>
      <charset val="136"/>
    </font>
    <font>
      <sz val="11"/>
      <name val="微软雅黑"/>
      <family val="2"/>
      <charset val="134"/>
    </font>
    <font>
      <sz val="13"/>
      <color rgb="FF000000"/>
      <name val="微软雅黑"/>
      <family val="2"/>
      <charset val="134"/>
    </font>
    <font>
      <sz val="16"/>
      <name val="微软雅黑"/>
      <family val="2"/>
      <charset val="134"/>
    </font>
    <font>
      <sz val="12"/>
      <name val="宋体"/>
      <charset val="134"/>
    </font>
    <font>
      <b/>
      <sz val="36"/>
      <name val="微軟正黑體"/>
      <family val="2"/>
      <charset val="136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3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</fills>
  <borders count="28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3" fillId="0" borderId="0"/>
    <xf numFmtId="0" fontId="1" fillId="0" borderId="0"/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1"/>
    <xf numFmtId="0" fontId="4" fillId="0" borderId="3" xfId="1" applyFont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4" fillId="0" borderId="3" xfId="1" applyFont="1" applyBorder="1" applyAlignment="1">
      <alignment horizontal="right" vertical="center"/>
    </xf>
    <xf numFmtId="0" fontId="4" fillId="0" borderId="6" xfId="2" applyFont="1" applyFill="1" applyBorder="1" applyAlignment="1">
      <alignment horizontal="left" vertical="center"/>
    </xf>
    <xf numFmtId="0" fontId="4" fillId="0" borderId="4" xfId="2" applyFont="1" applyFill="1" applyBorder="1" applyAlignment="1" applyProtection="1">
      <alignment horizontal="center" vertical="center"/>
      <protection locked="0"/>
    </xf>
    <xf numFmtId="0" fontId="4" fillId="0" borderId="3" xfId="2" applyFont="1" applyFill="1" applyBorder="1" applyAlignment="1" applyProtection="1">
      <alignment horizontal="center" vertical="center"/>
      <protection locked="0"/>
    </xf>
    <xf numFmtId="0" fontId="4" fillId="0" borderId="0" xfId="1" applyFont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1" fontId="4" fillId="2" borderId="3" xfId="2" quotePrefix="1" applyNumberFormat="1" applyFont="1" applyFill="1" applyBorder="1" applyAlignment="1" applyProtection="1">
      <alignment horizontal="center" vertical="center"/>
      <protection locked="0"/>
    </xf>
    <xf numFmtId="1" fontId="4" fillId="3" borderId="3" xfId="1" applyNumberFormat="1" applyFont="1" applyFill="1" applyBorder="1" applyAlignment="1" applyProtection="1">
      <alignment horizontal="center" vertical="center"/>
      <protection locked="0"/>
    </xf>
    <xf numFmtId="0" fontId="4" fillId="2" borderId="3" xfId="2" applyFont="1" applyFill="1" applyBorder="1" applyAlignment="1" applyProtection="1">
      <alignment horizontal="center" vertical="center"/>
      <protection locked="0"/>
    </xf>
    <xf numFmtId="176" fontId="4" fillId="2" borderId="3" xfId="2" applyNumberFormat="1" applyFont="1" applyFill="1" applyBorder="1" applyAlignment="1" applyProtection="1">
      <alignment horizontal="center" vertical="center"/>
      <protection locked="0"/>
    </xf>
    <xf numFmtId="176" fontId="4" fillId="2" borderId="3" xfId="3" applyNumberFormat="1" applyFont="1" applyFill="1" applyBorder="1" applyAlignment="1">
      <alignment horizontal="center" vertical="center"/>
    </xf>
    <xf numFmtId="176" fontId="4" fillId="3" borderId="6" xfId="1" applyNumberFormat="1" applyFont="1" applyFill="1" applyBorder="1" applyAlignment="1">
      <alignment horizontal="center" vertical="center"/>
    </xf>
    <xf numFmtId="176" fontId="4" fillId="3" borderId="3" xfId="3" applyNumberFormat="1" applyFont="1" applyFill="1" applyBorder="1" applyAlignment="1">
      <alignment horizontal="center" vertical="center"/>
    </xf>
    <xf numFmtId="178" fontId="8" fillId="3" borderId="3" xfId="1" applyNumberFormat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/>
    </xf>
    <xf numFmtId="176" fontId="4" fillId="0" borderId="3" xfId="1" applyNumberFormat="1" applyFont="1" applyBorder="1" applyAlignment="1" applyProtection="1">
      <alignment horizontal="center" vertical="center"/>
      <protection locked="0"/>
    </xf>
    <xf numFmtId="176" fontId="4" fillId="2" borderId="3" xfId="4" applyNumberFormat="1" applyFont="1" applyFill="1" applyBorder="1" applyAlignment="1">
      <alignment horizontal="center" vertical="center"/>
    </xf>
    <xf numFmtId="0" fontId="12" fillId="0" borderId="3" xfId="2" applyFont="1" applyBorder="1" applyAlignment="1">
      <alignment vertical="center" wrapText="1"/>
    </xf>
    <xf numFmtId="0" fontId="12" fillId="0" borderId="6" xfId="2" applyFont="1" applyBorder="1" applyAlignment="1">
      <alignment vertical="center" wrapText="1"/>
    </xf>
    <xf numFmtId="0" fontId="11" fillId="0" borderId="0" xfId="1" applyFont="1" applyBorder="1" applyAlignment="1">
      <alignment horizontal="center" vertical="center"/>
    </xf>
    <xf numFmtId="0" fontId="16" fillId="0" borderId="0" xfId="5" applyFont="1">
      <alignment vertical="center"/>
    </xf>
    <xf numFmtId="0" fontId="14" fillId="0" borderId="0" xfId="5" applyFont="1" applyBorder="1" applyAlignment="1">
      <alignment horizontal="center" vertical="center" wrapText="1"/>
    </xf>
    <xf numFmtId="14" fontId="16" fillId="0" borderId="0" xfId="5" applyNumberFormat="1" applyFont="1">
      <alignment vertical="center"/>
    </xf>
    <xf numFmtId="0" fontId="16" fillId="0" borderId="0" xfId="6" applyFont="1">
      <alignment vertical="center"/>
    </xf>
    <xf numFmtId="176" fontId="20" fillId="2" borderId="3" xfId="2" applyNumberFormat="1" applyFont="1" applyFill="1" applyBorder="1" applyAlignment="1" applyProtection="1">
      <alignment horizontal="center" vertical="center"/>
      <protection locked="0"/>
    </xf>
    <xf numFmtId="176" fontId="20" fillId="3" borderId="3" xfId="1" applyNumberFormat="1" applyFont="1" applyFill="1" applyBorder="1" applyAlignment="1" applyProtection="1">
      <alignment horizontal="center" vertical="center"/>
      <protection locked="0"/>
    </xf>
    <xf numFmtId="0" fontId="16" fillId="0" borderId="0" xfId="5" applyFont="1" applyBorder="1">
      <alignment vertical="center"/>
    </xf>
    <xf numFmtId="0" fontId="16" fillId="0" borderId="25" xfId="5" applyFont="1" applyBorder="1">
      <alignment vertical="center"/>
    </xf>
    <xf numFmtId="0" fontId="0" fillId="0" borderId="0" xfId="0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4" xfId="2" applyFont="1" applyFill="1" applyBorder="1" applyAlignment="1" applyProtection="1">
      <alignment horizontal="center" vertical="center"/>
      <protection locked="0"/>
    </xf>
    <xf numFmtId="0" fontId="4" fillId="0" borderId="5" xfId="2" applyFont="1" applyFill="1" applyBorder="1" applyAlignment="1" applyProtection="1">
      <alignment horizontal="center" vertical="center"/>
      <protection locked="0"/>
    </xf>
    <xf numFmtId="0" fontId="4" fillId="0" borderId="4" xfId="2" applyNumberFormat="1" applyFont="1" applyFill="1" applyBorder="1" applyAlignment="1">
      <alignment horizontal="center" vertical="center"/>
    </xf>
    <xf numFmtId="0" fontId="4" fillId="0" borderId="5" xfId="2" applyNumberFormat="1" applyFont="1" applyFill="1" applyBorder="1" applyAlignment="1">
      <alignment horizontal="center" vertical="center"/>
    </xf>
    <xf numFmtId="0" fontId="4" fillId="0" borderId="6" xfId="2" applyNumberFormat="1" applyFont="1" applyFill="1" applyBorder="1" applyAlignment="1">
      <alignment horizontal="center" vertical="center"/>
    </xf>
    <xf numFmtId="49" fontId="4" fillId="0" borderId="4" xfId="2" applyNumberFormat="1" applyFont="1" applyFill="1" applyBorder="1" applyAlignment="1" applyProtection="1">
      <alignment horizontal="center" vertical="center"/>
      <protection locked="0"/>
    </xf>
    <xf numFmtId="49" fontId="4" fillId="0" borderId="5" xfId="2" applyNumberFormat="1" applyFont="1" applyFill="1" applyBorder="1" applyAlignment="1" applyProtection="1">
      <alignment horizontal="center" vertical="center"/>
      <protection locked="0"/>
    </xf>
    <xf numFmtId="49" fontId="4" fillId="0" borderId="4" xfId="2" applyNumberFormat="1" applyFont="1" applyFill="1" applyBorder="1" applyAlignment="1">
      <alignment horizontal="center" vertical="center"/>
    </xf>
    <xf numFmtId="49" fontId="4" fillId="0" borderId="5" xfId="2" applyNumberFormat="1" applyFont="1" applyFill="1" applyBorder="1" applyAlignment="1">
      <alignment horizontal="center" vertical="center"/>
    </xf>
    <xf numFmtId="49" fontId="4" fillId="0" borderId="6" xfId="2" applyNumberFormat="1" applyFont="1" applyFill="1" applyBorder="1" applyAlignment="1">
      <alignment horizontal="center" vertical="center"/>
    </xf>
    <xf numFmtId="0" fontId="4" fillId="0" borderId="6" xfId="2" applyFont="1" applyFill="1" applyBorder="1" applyAlignment="1" applyProtection="1">
      <alignment horizontal="center" vertical="center"/>
      <protection locked="0"/>
    </xf>
    <xf numFmtId="49" fontId="4" fillId="0" borderId="5" xfId="2" quotePrefix="1" applyNumberFormat="1" applyFont="1" applyFill="1" applyBorder="1" applyAlignment="1" applyProtection="1">
      <alignment horizontal="center" vertical="center"/>
      <protection locked="0"/>
    </xf>
    <xf numFmtId="49" fontId="4" fillId="0" borderId="6" xfId="2" applyNumberFormat="1" applyFont="1" applyFill="1" applyBorder="1" applyAlignment="1" applyProtection="1">
      <alignment horizontal="center" vertical="center"/>
      <protection locked="0"/>
    </xf>
    <xf numFmtId="0" fontId="4" fillId="0" borderId="4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49" fontId="14" fillId="0" borderId="0" xfId="5" applyNumberFormat="1" applyFont="1" applyBorder="1" applyAlignment="1">
      <alignment horizontal="right" vertical="center" wrapText="1"/>
    </xf>
    <xf numFmtId="0" fontId="14" fillId="0" borderId="0" xfId="5" applyFont="1" applyBorder="1" applyAlignment="1">
      <alignment horizontal="right" vertical="center" wrapText="1"/>
    </xf>
    <xf numFmtId="0" fontId="14" fillId="0" borderId="0" xfId="5" applyFont="1" applyBorder="1" applyAlignment="1">
      <alignment horizontal="left" vertical="center" wrapText="1"/>
    </xf>
    <xf numFmtId="180" fontId="17" fillId="0" borderId="8" xfId="6" applyNumberFormat="1" applyFont="1" applyFill="1" applyBorder="1" applyAlignment="1">
      <alignment horizontal="center" vertical="center" wrapText="1"/>
    </xf>
    <xf numFmtId="180" fontId="17" fillId="0" borderId="9" xfId="6" applyNumberFormat="1" applyFont="1" applyFill="1" applyBorder="1" applyAlignment="1">
      <alignment horizontal="center" vertical="center" wrapText="1"/>
    </xf>
    <xf numFmtId="180" fontId="17" fillId="0" borderId="15" xfId="6" applyNumberFormat="1" applyFont="1" applyFill="1" applyBorder="1" applyAlignment="1">
      <alignment horizontal="center" vertical="center" wrapText="1"/>
    </xf>
    <xf numFmtId="180" fontId="17" fillId="0" borderId="14" xfId="6" applyNumberFormat="1" applyFont="1" applyFill="1" applyBorder="1" applyAlignment="1">
      <alignment horizontal="center" vertical="center" wrapText="1"/>
    </xf>
    <xf numFmtId="0" fontId="17" fillId="0" borderId="10" xfId="6" applyFont="1" applyFill="1" applyBorder="1" applyAlignment="1">
      <alignment horizontal="center" vertical="center" wrapText="1"/>
    </xf>
    <xf numFmtId="0" fontId="17" fillId="0" borderId="9" xfId="6" applyFont="1" applyFill="1" applyBorder="1" applyAlignment="1">
      <alignment horizontal="center" vertical="center" wrapText="1"/>
    </xf>
    <xf numFmtId="0" fontId="17" fillId="0" borderId="13" xfId="6" applyFont="1" applyFill="1" applyBorder="1" applyAlignment="1">
      <alignment horizontal="center" vertical="center" wrapText="1"/>
    </xf>
    <xf numFmtId="0" fontId="17" fillId="0" borderId="14" xfId="6" applyFont="1" applyFill="1" applyBorder="1" applyAlignment="1">
      <alignment horizontal="center" vertical="center" wrapText="1"/>
    </xf>
    <xf numFmtId="180" fontId="17" fillId="0" borderId="10" xfId="6" applyNumberFormat="1" applyFont="1" applyFill="1" applyBorder="1" applyAlignment="1">
      <alignment horizontal="center" vertical="center" wrapText="1"/>
    </xf>
    <xf numFmtId="180" fontId="17" fillId="0" borderId="13" xfId="6" applyNumberFormat="1" applyFont="1" applyFill="1" applyBorder="1" applyAlignment="1">
      <alignment horizontal="center" vertical="center" wrapText="1"/>
    </xf>
    <xf numFmtId="0" fontId="17" fillId="0" borderId="22" xfId="6" applyFont="1" applyFill="1" applyBorder="1" applyAlignment="1">
      <alignment horizontal="center" vertical="center" wrapText="1"/>
    </xf>
    <xf numFmtId="0" fontId="17" fillId="0" borderId="23" xfId="6" applyFont="1" applyFill="1" applyBorder="1" applyAlignment="1">
      <alignment horizontal="center" vertical="center" wrapText="1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180" fontId="17" fillId="0" borderId="11" xfId="6" applyNumberFormat="1" applyFont="1" applyFill="1" applyBorder="1" applyAlignment="1">
      <alignment horizontal="center" vertical="center" wrapText="1"/>
    </xf>
    <xf numFmtId="180" fontId="17" fillId="0" borderId="12" xfId="6" applyNumberFormat="1" applyFont="1" applyFill="1" applyBorder="1" applyAlignment="1">
      <alignment horizontal="center" vertical="center" wrapText="1"/>
    </xf>
    <xf numFmtId="0" fontId="17" fillId="0" borderId="18" xfId="6" applyFont="1" applyFill="1" applyBorder="1" applyAlignment="1">
      <alignment horizontal="center" vertical="center" wrapText="1"/>
    </xf>
    <xf numFmtId="0" fontId="17" fillId="0" borderId="12" xfId="6" applyFont="1" applyFill="1" applyBorder="1" applyAlignment="1">
      <alignment horizontal="center" vertical="center" wrapText="1"/>
    </xf>
    <xf numFmtId="180" fontId="17" fillId="0" borderId="18" xfId="6" applyNumberFormat="1" applyFont="1" applyFill="1" applyBorder="1" applyAlignment="1">
      <alignment horizontal="center" vertical="center" wrapText="1"/>
    </xf>
    <xf numFmtId="0" fontId="17" fillId="0" borderId="25" xfId="6" applyFont="1" applyFill="1" applyBorder="1" applyAlignment="1">
      <alignment horizontal="center" vertical="center" wrapText="1"/>
    </xf>
    <xf numFmtId="0" fontId="16" fillId="0" borderId="27" xfId="6" applyFont="1" applyBorder="1" applyAlignment="1">
      <alignment horizontal="center" vertical="center"/>
    </xf>
    <xf numFmtId="0" fontId="16" fillId="0" borderId="19" xfId="6" applyFont="1" applyBorder="1" applyAlignment="1">
      <alignment horizontal="center" vertical="center"/>
    </xf>
    <xf numFmtId="0" fontId="16" fillId="0" borderId="26" xfId="6" applyFont="1" applyBorder="1" applyAlignment="1">
      <alignment horizontal="center" vertical="center"/>
    </xf>
    <xf numFmtId="0" fontId="16" fillId="0" borderId="20" xfId="6" applyFont="1" applyBorder="1" applyAlignment="1">
      <alignment horizontal="center" vertical="center"/>
    </xf>
    <xf numFmtId="0" fontId="16" fillId="0" borderId="21" xfId="6" applyFont="1" applyBorder="1" applyAlignment="1">
      <alignment horizontal="center" vertical="center"/>
    </xf>
    <xf numFmtId="176" fontId="4" fillId="2" borderId="5" xfId="1" applyNumberFormat="1" applyFont="1" applyFill="1" applyBorder="1" applyAlignment="1" applyProtection="1">
      <alignment horizontal="center" vertical="center"/>
      <protection locked="0"/>
    </xf>
    <xf numFmtId="176" fontId="4" fillId="0" borderId="6" xfId="1" applyNumberFormat="1" applyFont="1" applyBorder="1" applyAlignment="1">
      <alignment horizontal="center" vertical="center"/>
    </xf>
    <xf numFmtId="176" fontId="4" fillId="0" borderId="6" xfId="2" applyNumberFormat="1" applyFont="1" applyBorder="1" applyAlignment="1" applyProtection="1">
      <alignment horizontal="center" vertical="center"/>
    </xf>
  </cellXfs>
  <cellStyles count="10">
    <cellStyle name="一般" xfId="0" builtinId="0"/>
    <cellStyle name="一般 2" xfId="9"/>
    <cellStyle name="一般 2 2 3 2" xfId="5"/>
    <cellStyle name="一般 3" xfId="8"/>
    <cellStyle name="一般 4" xfId="1"/>
    <cellStyle name="一般 4 2" xfId="2"/>
    <cellStyle name="一般 4 3 2" xfId="7"/>
    <cellStyle name="一般 5 2 2" xfId="6"/>
    <cellStyle name="常规 6" xfId="3"/>
    <cellStyle name="常规 6 2" xfId="4"/>
  </cellStyles>
  <dxfs count="47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527040</xdr:colOff>
      <xdr:row>0</xdr:row>
      <xdr:rowOff>112680</xdr:rowOff>
    </xdr:from>
    <xdr:ext cx="8688676" cy="1226520"/>
    <xdr:pic>
      <xdr:nvPicPr>
        <xdr:cNvPr id="2" name="图片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509240" y="112680"/>
          <a:ext cx="8688676" cy="1226520"/>
        </a:xfrm>
        <a:prstGeom prst="rect">
          <a:avLst/>
        </a:prstGeom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199\Users\USER\Desktop\&#27169;&#20161;DATA&#31354;&#30333;&#272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IN"/>
      <sheetName val="Catch"/>
      <sheetName val="LINE"/>
      <sheetName val="舜宇1"/>
      <sheetName val="舜宇2"/>
      <sheetName val="舜宇3"/>
      <sheetName val="其他1"/>
      <sheetName val="其他2"/>
      <sheetName val="其他3"/>
      <sheetName val="資料1"/>
      <sheetName val="資料2"/>
      <sheetName val="資料3"/>
      <sheetName val="QV"/>
      <sheetName val="直身段"/>
      <sheetName val="圖面+外觀"/>
      <sheetName val="Pt"/>
      <sheetName val="Pt1"/>
      <sheetName val="PtSag"/>
      <sheetName val="Ptbody"/>
      <sheetName val="工程檢"/>
      <sheetName val="模仁DATA空白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3"/>
  <sheetViews>
    <sheetView tabSelected="1" zoomScale="60" zoomScaleNormal="60" workbookViewId="0">
      <pane xSplit="1" ySplit="3" topLeftCell="B4" activePane="bottomRight" state="frozen"/>
      <selection activeCell="C2" sqref="C2:E2"/>
      <selection pane="topRight" activeCell="C2" sqref="C2:E2"/>
      <selection pane="bottomLeft" activeCell="C2" sqref="C2:E2"/>
      <selection pane="bottomRight" activeCell="E4" sqref="E4"/>
    </sheetView>
  </sheetViews>
  <sheetFormatPr defaultRowHeight="16.5"/>
  <cols>
    <col min="1" max="1" width="8" customWidth="1"/>
    <col min="2" max="2" width="24.75" customWidth="1"/>
    <col min="3" max="3" width="8.375" customWidth="1"/>
    <col min="4" max="6" width="10.625" customWidth="1"/>
    <col min="7" max="7" width="6.125" bestFit="1" customWidth="1"/>
    <col min="8" max="8" width="10.625" customWidth="1"/>
    <col min="9" max="33" width="11.625" customWidth="1"/>
  </cols>
  <sheetData>
    <row r="1" spans="1:35" ht="111.9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1"/>
      <c r="AI1" s="1"/>
    </row>
    <row r="2" spans="1:35" s="8" customFormat="1" ht="36.950000000000003" customHeight="1">
      <c r="A2" s="43" t="s">
        <v>0</v>
      </c>
      <c r="B2" s="2" t="s">
        <v>1</v>
      </c>
      <c r="C2" s="45" t="s">
        <v>2</v>
      </c>
      <c r="D2" s="46"/>
      <c r="E2" s="46"/>
      <c r="F2" s="47" t="s">
        <v>3</v>
      </c>
      <c r="G2" s="48"/>
      <c r="H2" s="49"/>
      <c r="I2" s="50"/>
      <c r="J2" s="51"/>
      <c r="K2" s="51"/>
      <c r="L2" s="3" t="s">
        <v>4</v>
      </c>
      <c r="M2" s="52"/>
      <c r="N2" s="53"/>
      <c r="O2" s="54"/>
      <c r="P2" s="3" t="s">
        <v>5</v>
      </c>
      <c r="Q2" s="4">
        <f>COUNTIF(J3:AD3,"&gt;0")</f>
        <v>0</v>
      </c>
      <c r="R2" s="5" t="s">
        <v>6</v>
      </c>
      <c r="S2" s="3" t="s">
        <v>7</v>
      </c>
      <c r="T2" s="45"/>
      <c r="U2" s="55"/>
      <c r="V2" s="3" t="s">
        <v>8</v>
      </c>
      <c r="W2" s="45"/>
      <c r="X2" s="55"/>
      <c r="Y2" s="3" t="s">
        <v>9</v>
      </c>
      <c r="Z2" s="6"/>
      <c r="AA2" s="7" t="s">
        <v>10</v>
      </c>
      <c r="AB2" s="56"/>
      <c r="AC2" s="57"/>
      <c r="AD2" s="3" t="s">
        <v>11</v>
      </c>
      <c r="AE2" s="58"/>
      <c r="AF2" s="59"/>
      <c r="AG2" s="60"/>
      <c r="AH2" s="2"/>
    </row>
    <row r="3" spans="1:35" ht="30" customHeight="1">
      <c r="A3" s="44"/>
      <c r="B3" s="9" t="s">
        <v>12</v>
      </c>
      <c r="C3" s="10" t="s">
        <v>13</v>
      </c>
      <c r="D3" s="38" t="s">
        <v>14</v>
      </c>
      <c r="E3" s="38"/>
      <c r="F3" s="38"/>
      <c r="G3" s="38"/>
      <c r="H3" s="11" t="s">
        <v>15</v>
      </c>
      <c r="I3" s="11" t="s">
        <v>16</v>
      </c>
      <c r="J3" s="12"/>
      <c r="K3" s="1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1" t="s">
        <v>17</v>
      </c>
      <c r="AF3" s="11" t="s">
        <v>18</v>
      </c>
      <c r="AG3" s="11" t="s">
        <v>19</v>
      </c>
      <c r="AH3" s="11" t="s">
        <v>20</v>
      </c>
      <c r="AI3" s="1"/>
    </row>
    <row r="4" spans="1:35" ht="27" customHeight="1">
      <c r="A4" s="3"/>
      <c r="B4" s="9"/>
      <c r="C4" s="14"/>
      <c r="D4" s="15"/>
      <c r="E4" s="16"/>
      <c r="F4" s="16"/>
      <c r="G4" s="17"/>
      <c r="H4" s="18">
        <f t="shared" ref="H4:H50" si="0">D4+E4</f>
        <v>0</v>
      </c>
      <c r="I4" s="18">
        <f t="shared" ref="I4:I50" si="1">D4+F4</f>
        <v>0</v>
      </c>
      <c r="J4" s="32"/>
      <c r="K4" s="32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19">
        <f>MAX(J4:AD4)</f>
        <v>0</v>
      </c>
      <c r="AF4" s="19">
        <f>MIN(J4:AD4)</f>
        <v>0</v>
      </c>
      <c r="AG4" s="19">
        <f t="shared" ref="AG4:AG50" si="2">AE4-AF4</f>
        <v>0</v>
      </c>
      <c r="AH4" s="20" t="str">
        <f ca="1">IF(J4="","",IF(OR(MAX(INDIRECT(ADDRESS(ROW(),10)&amp;":"&amp;ADDRESS(ROW(),$Q$2+9)))&gt;D4+E4,MIN(INDIRECT(ADDRESS(ROW(),10)&amp;":"&amp;ADDRESS(ROW(),$Q$2+9)))&lt;D4+F4),"NG","OK"))</f>
        <v/>
      </c>
      <c r="AI4" s="1"/>
    </row>
    <row r="5" spans="1:35" ht="27" customHeight="1">
      <c r="A5" s="3"/>
      <c r="B5" s="9"/>
      <c r="C5" s="14"/>
      <c r="D5" s="15"/>
      <c r="E5" s="16"/>
      <c r="F5" s="16"/>
      <c r="G5" s="17"/>
      <c r="H5" s="18">
        <f t="shared" si="0"/>
        <v>0</v>
      </c>
      <c r="I5" s="18">
        <f t="shared" si="1"/>
        <v>0</v>
      </c>
      <c r="J5" s="32"/>
      <c r="K5" s="32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19">
        <f t="shared" ref="AE5:AE50" si="3">MAX(J5:AD5)</f>
        <v>0</v>
      </c>
      <c r="AF5" s="19">
        <f t="shared" ref="AF5:AF50" si="4">MIN(J5:AD5)</f>
        <v>0</v>
      </c>
      <c r="AG5" s="19">
        <f t="shared" si="2"/>
        <v>0</v>
      </c>
      <c r="AH5" s="20" t="str">
        <f t="shared" ref="AH5:AH50" ca="1" si="5">IF(J5="","",IF(OR(MAX(INDIRECT(ADDRESS(ROW(),10)&amp;":"&amp;ADDRESS(ROW(),$Q$2+9)))&gt;D5+E5,MIN(INDIRECT(ADDRESS(ROW(),10)&amp;":"&amp;ADDRESS(ROW(),$Q$2+9)))&lt;D5+F5),"NG","OK"))</f>
        <v/>
      </c>
      <c r="AI5" s="1"/>
    </row>
    <row r="6" spans="1:35" ht="27" customHeight="1">
      <c r="A6" s="3"/>
      <c r="B6" s="9"/>
      <c r="C6" s="14"/>
      <c r="D6" s="15"/>
      <c r="E6" s="16"/>
      <c r="F6" s="16"/>
      <c r="G6" s="17"/>
      <c r="H6" s="18">
        <f t="shared" si="0"/>
        <v>0</v>
      </c>
      <c r="I6" s="18">
        <f t="shared" si="1"/>
        <v>0</v>
      </c>
      <c r="J6" s="32"/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19">
        <f t="shared" si="3"/>
        <v>0</v>
      </c>
      <c r="AF6" s="19">
        <f t="shared" si="4"/>
        <v>0</v>
      </c>
      <c r="AG6" s="19">
        <f t="shared" si="2"/>
        <v>0</v>
      </c>
      <c r="AH6" s="20" t="str">
        <f t="shared" ca="1" si="5"/>
        <v/>
      </c>
      <c r="AI6" s="1"/>
    </row>
    <row r="7" spans="1:35" ht="27" customHeight="1">
      <c r="A7" s="3"/>
      <c r="B7" s="9"/>
      <c r="C7" s="14"/>
      <c r="D7" s="15"/>
      <c r="E7" s="16"/>
      <c r="F7" s="16"/>
      <c r="G7" s="17"/>
      <c r="H7" s="18">
        <f t="shared" si="0"/>
        <v>0</v>
      </c>
      <c r="I7" s="18">
        <f t="shared" si="1"/>
        <v>0</v>
      </c>
      <c r="J7" s="32"/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19">
        <f t="shared" si="3"/>
        <v>0</v>
      </c>
      <c r="AF7" s="19">
        <f t="shared" si="4"/>
        <v>0</v>
      </c>
      <c r="AG7" s="19">
        <f t="shared" si="2"/>
        <v>0</v>
      </c>
      <c r="AH7" s="20" t="str">
        <f t="shared" ca="1" si="5"/>
        <v/>
      </c>
      <c r="AI7" s="1"/>
    </row>
    <row r="8" spans="1:35" ht="27" customHeight="1">
      <c r="A8" s="3"/>
      <c r="B8" s="9"/>
      <c r="C8" s="14"/>
      <c r="D8" s="15"/>
      <c r="E8" s="16"/>
      <c r="F8" s="16"/>
      <c r="G8" s="17"/>
      <c r="H8" s="18">
        <f t="shared" si="0"/>
        <v>0</v>
      </c>
      <c r="I8" s="18">
        <f t="shared" si="1"/>
        <v>0</v>
      </c>
      <c r="J8" s="32"/>
      <c r="K8" s="32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19">
        <f t="shared" si="3"/>
        <v>0</v>
      </c>
      <c r="AF8" s="19">
        <f t="shared" si="4"/>
        <v>0</v>
      </c>
      <c r="AG8" s="19">
        <f t="shared" si="2"/>
        <v>0</v>
      </c>
      <c r="AH8" s="20" t="str">
        <f t="shared" ca="1" si="5"/>
        <v/>
      </c>
      <c r="AI8" s="1"/>
    </row>
    <row r="9" spans="1:35" ht="27" customHeight="1">
      <c r="A9" s="3"/>
      <c r="B9" s="9"/>
      <c r="C9" s="14"/>
      <c r="D9" s="15"/>
      <c r="E9" s="16"/>
      <c r="F9" s="16"/>
      <c r="G9" s="17"/>
      <c r="H9" s="18">
        <f t="shared" si="0"/>
        <v>0</v>
      </c>
      <c r="I9" s="18">
        <f t="shared" si="1"/>
        <v>0</v>
      </c>
      <c r="J9" s="32"/>
      <c r="K9" s="32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19">
        <f t="shared" si="3"/>
        <v>0</v>
      </c>
      <c r="AF9" s="19">
        <f t="shared" si="4"/>
        <v>0</v>
      </c>
      <c r="AG9" s="19">
        <f t="shared" si="2"/>
        <v>0</v>
      </c>
      <c r="AH9" s="20" t="str">
        <f t="shared" ca="1" si="5"/>
        <v/>
      </c>
      <c r="AI9" s="1"/>
    </row>
    <row r="10" spans="1:35" ht="27" customHeight="1">
      <c r="A10" s="3"/>
      <c r="B10" s="9"/>
      <c r="C10" s="14"/>
      <c r="D10" s="15"/>
      <c r="E10" s="16"/>
      <c r="F10" s="16"/>
      <c r="G10" s="17"/>
      <c r="H10" s="18">
        <f t="shared" si="0"/>
        <v>0</v>
      </c>
      <c r="I10" s="18">
        <f t="shared" si="1"/>
        <v>0</v>
      </c>
      <c r="J10" s="32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19">
        <f t="shared" si="3"/>
        <v>0</v>
      </c>
      <c r="AF10" s="19">
        <f t="shared" si="4"/>
        <v>0</v>
      </c>
      <c r="AG10" s="19">
        <f t="shared" si="2"/>
        <v>0</v>
      </c>
      <c r="AH10" s="20" t="str">
        <f t="shared" ca="1" si="5"/>
        <v/>
      </c>
      <c r="AI10" s="1"/>
    </row>
    <row r="11" spans="1:35" ht="27" customHeight="1">
      <c r="A11" s="3"/>
      <c r="B11" s="9"/>
      <c r="C11" s="14"/>
      <c r="D11" s="15"/>
      <c r="E11" s="16"/>
      <c r="F11" s="16"/>
      <c r="G11" s="17"/>
      <c r="H11" s="18">
        <f t="shared" si="0"/>
        <v>0</v>
      </c>
      <c r="I11" s="18">
        <f t="shared" si="1"/>
        <v>0</v>
      </c>
      <c r="J11" s="32"/>
      <c r="K11" s="32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19">
        <f t="shared" si="3"/>
        <v>0</v>
      </c>
      <c r="AF11" s="19">
        <f t="shared" si="4"/>
        <v>0</v>
      </c>
      <c r="AG11" s="19">
        <f t="shared" si="2"/>
        <v>0</v>
      </c>
      <c r="AH11" s="20" t="str">
        <f t="shared" ca="1" si="5"/>
        <v/>
      </c>
      <c r="AI11" s="1"/>
    </row>
    <row r="12" spans="1:35" ht="27" customHeight="1">
      <c r="A12" s="3"/>
      <c r="B12" s="9"/>
      <c r="C12" s="14"/>
      <c r="D12" s="15"/>
      <c r="E12" s="16"/>
      <c r="F12" s="16"/>
      <c r="G12" s="17"/>
      <c r="H12" s="18">
        <f t="shared" si="0"/>
        <v>0</v>
      </c>
      <c r="I12" s="18">
        <f t="shared" si="1"/>
        <v>0</v>
      </c>
      <c r="J12" s="32"/>
      <c r="K12" s="32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19">
        <f t="shared" si="3"/>
        <v>0</v>
      </c>
      <c r="AF12" s="19">
        <f t="shared" si="4"/>
        <v>0</v>
      </c>
      <c r="AG12" s="19">
        <f t="shared" si="2"/>
        <v>0</v>
      </c>
      <c r="AH12" s="20" t="str">
        <f t="shared" ca="1" si="5"/>
        <v/>
      </c>
      <c r="AI12" s="1"/>
    </row>
    <row r="13" spans="1:35" ht="27" customHeight="1">
      <c r="A13" s="3"/>
      <c r="B13" s="9"/>
      <c r="C13" s="14"/>
      <c r="D13" s="15"/>
      <c r="E13" s="16"/>
      <c r="F13" s="16"/>
      <c r="G13" s="17"/>
      <c r="H13" s="18">
        <f t="shared" si="0"/>
        <v>0</v>
      </c>
      <c r="I13" s="18">
        <f t="shared" si="1"/>
        <v>0</v>
      </c>
      <c r="J13" s="32"/>
      <c r="K13" s="32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19">
        <f t="shared" si="3"/>
        <v>0</v>
      </c>
      <c r="AF13" s="19">
        <f t="shared" si="4"/>
        <v>0</v>
      </c>
      <c r="AG13" s="19">
        <f t="shared" si="2"/>
        <v>0</v>
      </c>
      <c r="AH13" s="20" t="str">
        <f t="shared" ca="1" si="5"/>
        <v/>
      </c>
      <c r="AI13" s="1"/>
    </row>
    <row r="14" spans="1:35" ht="27" customHeight="1">
      <c r="A14" s="3"/>
      <c r="B14" s="9"/>
      <c r="C14" s="14"/>
      <c r="D14" s="15"/>
      <c r="E14" s="16"/>
      <c r="F14" s="16"/>
      <c r="G14" s="16"/>
      <c r="H14" s="16">
        <f t="shared" si="0"/>
        <v>0</v>
      </c>
      <c r="I14" s="16">
        <f t="shared" si="1"/>
        <v>0</v>
      </c>
      <c r="J14" s="32"/>
      <c r="K14" s="32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19">
        <f t="shared" si="3"/>
        <v>0</v>
      </c>
      <c r="AF14" s="19">
        <f t="shared" si="4"/>
        <v>0</v>
      </c>
      <c r="AG14" s="19">
        <f t="shared" si="2"/>
        <v>0</v>
      </c>
      <c r="AH14" s="20" t="str">
        <f t="shared" ca="1" si="5"/>
        <v/>
      </c>
      <c r="AI14" s="1"/>
    </row>
    <row r="15" spans="1:35" ht="27" customHeight="1">
      <c r="A15" s="3"/>
      <c r="B15" s="9"/>
      <c r="C15" s="14"/>
      <c r="D15" s="15"/>
      <c r="E15" s="16"/>
      <c r="F15" s="16"/>
      <c r="G15" s="16"/>
      <c r="H15" s="16">
        <f t="shared" si="0"/>
        <v>0</v>
      </c>
      <c r="I15" s="16">
        <f t="shared" si="1"/>
        <v>0</v>
      </c>
      <c r="J15" s="32"/>
      <c r="K15" s="32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19">
        <f t="shared" si="3"/>
        <v>0</v>
      </c>
      <c r="AF15" s="19">
        <f t="shared" si="4"/>
        <v>0</v>
      </c>
      <c r="AG15" s="19">
        <f t="shared" si="2"/>
        <v>0</v>
      </c>
      <c r="AH15" s="20" t="str">
        <f t="shared" ca="1" si="5"/>
        <v/>
      </c>
      <c r="AI15" s="1"/>
    </row>
    <row r="16" spans="1:35" ht="27" customHeight="1">
      <c r="A16" s="3"/>
      <c r="B16" s="9"/>
      <c r="C16" s="14"/>
      <c r="D16" s="15"/>
      <c r="E16" s="16"/>
      <c r="F16" s="16"/>
      <c r="G16" s="16"/>
      <c r="H16" s="16">
        <f t="shared" si="0"/>
        <v>0</v>
      </c>
      <c r="I16" s="16">
        <f t="shared" si="1"/>
        <v>0</v>
      </c>
      <c r="J16" s="32"/>
      <c r="K16" s="32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19">
        <f t="shared" si="3"/>
        <v>0</v>
      </c>
      <c r="AF16" s="19">
        <f t="shared" si="4"/>
        <v>0</v>
      </c>
      <c r="AG16" s="19">
        <f t="shared" si="2"/>
        <v>0</v>
      </c>
      <c r="AH16" s="20" t="str">
        <f t="shared" ca="1" si="5"/>
        <v/>
      </c>
      <c r="AI16" s="1"/>
    </row>
    <row r="17" spans="1:35" ht="27" customHeight="1">
      <c r="A17" s="21"/>
      <c r="B17" s="9"/>
      <c r="C17" s="14"/>
      <c r="D17" s="15"/>
      <c r="E17" s="16"/>
      <c r="F17" s="16"/>
      <c r="G17" s="17"/>
      <c r="H17" s="18">
        <f t="shared" si="0"/>
        <v>0</v>
      </c>
      <c r="I17" s="18">
        <f t="shared" si="1"/>
        <v>0</v>
      </c>
      <c r="J17" s="32"/>
      <c r="K17" s="32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19">
        <f t="shared" si="3"/>
        <v>0</v>
      </c>
      <c r="AF17" s="19">
        <f t="shared" si="4"/>
        <v>0</v>
      </c>
      <c r="AG17" s="19">
        <f t="shared" si="2"/>
        <v>0</v>
      </c>
      <c r="AH17" s="20" t="str">
        <f t="shared" ca="1" si="5"/>
        <v/>
      </c>
      <c r="AI17" s="1"/>
    </row>
    <row r="18" spans="1:35" ht="27" customHeight="1">
      <c r="A18" s="21"/>
      <c r="B18" s="3"/>
      <c r="C18" s="14"/>
      <c r="D18" s="15"/>
      <c r="E18" s="16"/>
      <c r="F18" s="16"/>
      <c r="G18" s="17"/>
      <c r="H18" s="18">
        <f t="shared" si="0"/>
        <v>0</v>
      </c>
      <c r="I18" s="18">
        <f t="shared" si="1"/>
        <v>0</v>
      </c>
      <c r="J18" s="32"/>
      <c r="K18" s="32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19">
        <f t="shared" si="3"/>
        <v>0</v>
      </c>
      <c r="AF18" s="19">
        <f t="shared" si="4"/>
        <v>0</v>
      </c>
      <c r="AG18" s="19">
        <f t="shared" si="2"/>
        <v>0</v>
      </c>
      <c r="AH18" s="20" t="str">
        <f t="shared" ca="1" si="5"/>
        <v/>
      </c>
      <c r="AI18" s="1"/>
    </row>
    <row r="19" spans="1:35" ht="27" customHeight="1">
      <c r="A19" s="11"/>
      <c r="B19" s="9"/>
      <c r="C19" s="14"/>
      <c r="D19" s="15"/>
      <c r="E19" s="16"/>
      <c r="F19" s="16"/>
      <c r="G19" s="17"/>
      <c r="H19" s="18">
        <f t="shared" si="0"/>
        <v>0</v>
      </c>
      <c r="I19" s="18">
        <f t="shared" si="1"/>
        <v>0</v>
      </c>
      <c r="J19" s="32"/>
      <c r="K19" s="32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19">
        <f t="shared" si="3"/>
        <v>0</v>
      </c>
      <c r="AF19" s="19">
        <f t="shared" si="4"/>
        <v>0</v>
      </c>
      <c r="AG19" s="19">
        <f t="shared" si="2"/>
        <v>0</v>
      </c>
      <c r="AH19" s="20" t="str">
        <f t="shared" ca="1" si="5"/>
        <v/>
      </c>
      <c r="AI19" s="1"/>
    </row>
    <row r="20" spans="1:35" ht="27" customHeight="1">
      <c r="A20" s="21"/>
      <c r="B20" s="22"/>
      <c r="C20" s="14"/>
      <c r="D20" s="15"/>
      <c r="E20" s="16"/>
      <c r="F20" s="16"/>
      <c r="G20" s="17"/>
      <c r="H20" s="18">
        <f t="shared" si="0"/>
        <v>0</v>
      </c>
      <c r="I20" s="18">
        <f t="shared" si="1"/>
        <v>0</v>
      </c>
      <c r="J20" s="32"/>
      <c r="K20" s="32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19">
        <f t="shared" si="3"/>
        <v>0</v>
      </c>
      <c r="AF20" s="19">
        <f t="shared" si="4"/>
        <v>0</v>
      </c>
      <c r="AG20" s="19">
        <f t="shared" si="2"/>
        <v>0</v>
      </c>
      <c r="AH20" s="20" t="str">
        <f t="shared" ca="1" si="5"/>
        <v/>
      </c>
      <c r="AI20" s="1"/>
    </row>
    <row r="21" spans="1:35" ht="27" customHeight="1">
      <c r="A21" s="21"/>
      <c r="B21" s="9"/>
      <c r="C21" s="14"/>
      <c r="D21" s="15"/>
      <c r="E21" s="16"/>
      <c r="F21" s="16"/>
      <c r="G21" s="17"/>
      <c r="H21" s="18">
        <f t="shared" si="0"/>
        <v>0</v>
      </c>
      <c r="I21" s="18">
        <f t="shared" si="1"/>
        <v>0</v>
      </c>
      <c r="J21" s="32"/>
      <c r="K21" s="32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19">
        <f t="shared" si="3"/>
        <v>0</v>
      </c>
      <c r="AF21" s="19">
        <f t="shared" si="4"/>
        <v>0</v>
      </c>
      <c r="AG21" s="19">
        <f t="shared" si="2"/>
        <v>0</v>
      </c>
      <c r="AH21" s="20" t="str">
        <f t="shared" ca="1" si="5"/>
        <v/>
      </c>
      <c r="AI21" s="1"/>
    </row>
    <row r="22" spans="1:35" ht="27" customHeight="1">
      <c r="A22" s="3"/>
      <c r="B22" s="9"/>
      <c r="C22" s="14"/>
      <c r="D22" s="15"/>
      <c r="E22" s="16"/>
      <c r="F22" s="16"/>
      <c r="G22" s="17"/>
      <c r="H22" s="18">
        <f t="shared" si="0"/>
        <v>0</v>
      </c>
      <c r="I22" s="18">
        <f t="shared" si="1"/>
        <v>0</v>
      </c>
      <c r="J22" s="32"/>
      <c r="K22" s="32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19">
        <f t="shared" si="3"/>
        <v>0</v>
      </c>
      <c r="AF22" s="19">
        <f t="shared" si="4"/>
        <v>0</v>
      </c>
      <c r="AG22" s="19">
        <f t="shared" si="2"/>
        <v>0</v>
      </c>
      <c r="AH22" s="20" t="str">
        <f t="shared" ca="1" si="5"/>
        <v/>
      </c>
      <c r="AI22" s="1"/>
    </row>
    <row r="23" spans="1:35" ht="27" customHeight="1">
      <c r="A23" s="3"/>
      <c r="B23" s="9"/>
      <c r="C23" s="14"/>
      <c r="D23" s="15"/>
      <c r="E23" s="16"/>
      <c r="F23" s="16"/>
      <c r="G23" s="17"/>
      <c r="H23" s="18">
        <f t="shared" si="0"/>
        <v>0</v>
      </c>
      <c r="I23" s="18">
        <f t="shared" si="1"/>
        <v>0</v>
      </c>
      <c r="J23" s="32"/>
      <c r="K23" s="32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19">
        <f t="shared" si="3"/>
        <v>0</v>
      </c>
      <c r="AF23" s="19">
        <f t="shared" si="4"/>
        <v>0</v>
      </c>
      <c r="AG23" s="19">
        <f t="shared" si="2"/>
        <v>0</v>
      </c>
      <c r="AH23" s="20" t="str">
        <f t="shared" ca="1" si="5"/>
        <v/>
      </c>
      <c r="AI23" s="1"/>
    </row>
    <row r="24" spans="1:35" ht="27" customHeight="1">
      <c r="A24" s="3"/>
      <c r="B24" s="9"/>
      <c r="C24" s="14"/>
      <c r="D24" s="15"/>
      <c r="E24" s="16"/>
      <c r="F24" s="16"/>
      <c r="G24" s="17"/>
      <c r="H24" s="18">
        <f t="shared" si="0"/>
        <v>0</v>
      </c>
      <c r="I24" s="18">
        <f t="shared" si="1"/>
        <v>0</v>
      </c>
      <c r="J24" s="32"/>
      <c r="K24" s="32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19">
        <f t="shared" si="3"/>
        <v>0</v>
      </c>
      <c r="AF24" s="19">
        <f t="shared" si="4"/>
        <v>0</v>
      </c>
      <c r="AG24" s="19">
        <f t="shared" si="2"/>
        <v>0</v>
      </c>
      <c r="AH24" s="20" t="str">
        <f t="shared" ca="1" si="5"/>
        <v/>
      </c>
      <c r="AI24" s="1"/>
    </row>
    <row r="25" spans="1:35" ht="27" customHeight="1">
      <c r="A25" s="3"/>
      <c r="B25" s="9"/>
      <c r="C25" s="14"/>
      <c r="D25" s="15"/>
      <c r="E25" s="16"/>
      <c r="F25" s="16"/>
      <c r="G25" s="17"/>
      <c r="H25" s="18">
        <f t="shared" si="0"/>
        <v>0</v>
      </c>
      <c r="I25" s="18">
        <f t="shared" si="1"/>
        <v>0</v>
      </c>
      <c r="J25" s="32"/>
      <c r="K25" s="32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19">
        <f t="shared" si="3"/>
        <v>0</v>
      </c>
      <c r="AF25" s="19">
        <f t="shared" si="4"/>
        <v>0</v>
      </c>
      <c r="AG25" s="19">
        <f t="shared" si="2"/>
        <v>0</v>
      </c>
      <c r="AH25" s="20" t="str">
        <f t="shared" ca="1" si="5"/>
        <v/>
      </c>
      <c r="AI25" s="1"/>
    </row>
    <row r="26" spans="1:35" ht="27" customHeight="1">
      <c r="A26" s="3"/>
      <c r="B26" s="9"/>
      <c r="C26" s="14"/>
      <c r="D26" s="15"/>
      <c r="E26" s="16"/>
      <c r="F26" s="16"/>
      <c r="G26" s="17"/>
      <c r="H26" s="18">
        <f t="shared" si="0"/>
        <v>0</v>
      </c>
      <c r="I26" s="18">
        <f t="shared" si="1"/>
        <v>0</v>
      </c>
      <c r="J26" s="32"/>
      <c r="K26" s="32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19">
        <f t="shared" si="3"/>
        <v>0</v>
      </c>
      <c r="AF26" s="19">
        <f t="shared" si="4"/>
        <v>0</v>
      </c>
      <c r="AG26" s="19">
        <f t="shared" si="2"/>
        <v>0</v>
      </c>
      <c r="AH26" s="20" t="str">
        <f t="shared" ca="1" si="5"/>
        <v/>
      </c>
      <c r="AI26" s="1"/>
    </row>
    <row r="27" spans="1:35" ht="27" customHeight="1">
      <c r="A27" s="3"/>
      <c r="B27" s="9"/>
      <c r="C27" s="14"/>
      <c r="D27" s="15"/>
      <c r="E27" s="16"/>
      <c r="F27" s="16"/>
      <c r="G27" s="17"/>
      <c r="H27" s="18">
        <f t="shared" si="0"/>
        <v>0</v>
      </c>
      <c r="I27" s="18">
        <f t="shared" si="1"/>
        <v>0</v>
      </c>
      <c r="J27" s="32"/>
      <c r="K27" s="32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19">
        <f t="shared" si="3"/>
        <v>0</v>
      </c>
      <c r="AF27" s="19">
        <f t="shared" si="4"/>
        <v>0</v>
      </c>
      <c r="AG27" s="19">
        <f t="shared" si="2"/>
        <v>0</v>
      </c>
      <c r="AH27" s="20" t="str">
        <f t="shared" ca="1" si="5"/>
        <v/>
      </c>
      <c r="AI27" s="1"/>
    </row>
    <row r="28" spans="1:35" ht="27" customHeight="1">
      <c r="A28" s="3"/>
      <c r="B28" s="9"/>
      <c r="C28" s="14"/>
      <c r="D28" s="15"/>
      <c r="E28" s="16"/>
      <c r="F28" s="16"/>
      <c r="G28" s="17"/>
      <c r="H28" s="18">
        <f t="shared" si="0"/>
        <v>0</v>
      </c>
      <c r="I28" s="18">
        <f t="shared" si="1"/>
        <v>0</v>
      </c>
      <c r="J28" s="32"/>
      <c r="K28" s="32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19">
        <f t="shared" si="3"/>
        <v>0</v>
      </c>
      <c r="AF28" s="19">
        <f t="shared" si="4"/>
        <v>0</v>
      </c>
      <c r="AG28" s="19">
        <f t="shared" si="2"/>
        <v>0</v>
      </c>
      <c r="AH28" s="20" t="str">
        <f t="shared" ca="1" si="5"/>
        <v/>
      </c>
      <c r="AI28" s="1"/>
    </row>
    <row r="29" spans="1:35" ht="27" customHeight="1">
      <c r="A29" s="3"/>
      <c r="B29" s="9"/>
      <c r="C29" s="14"/>
      <c r="D29" s="15"/>
      <c r="E29" s="16"/>
      <c r="F29" s="16"/>
      <c r="G29" s="17"/>
      <c r="H29" s="18">
        <f t="shared" si="0"/>
        <v>0</v>
      </c>
      <c r="I29" s="18">
        <f t="shared" si="1"/>
        <v>0</v>
      </c>
      <c r="J29" s="32"/>
      <c r="K29" s="32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19">
        <f t="shared" si="3"/>
        <v>0</v>
      </c>
      <c r="AF29" s="19">
        <f t="shared" si="4"/>
        <v>0</v>
      </c>
      <c r="AG29" s="19">
        <f t="shared" si="2"/>
        <v>0</v>
      </c>
      <c r="AH29" s="20" t="str">
        <f t="shared" ca="1" si="5"/>
        <v/>
      </c>
      <c r="AI29" s="1"/>
    </row>
    <row r="30" spans="1:35" ht="27" customHeight="1">
      <c r="A30" s="3"/>
      <c r="B30" s="9"/>
      <c r="C30" s="14"/>
      <c r="D30" s="15"/>
      <c r="E30" s="16"/>
      <c r="F30" s="16"/>
      <c r="G30" s="17"/>
      <c r="H30" s="18">
        <f t="shared" si="0"/>
        <v>0</v>
      </c>
      <c r="I30" s="18">
        <f t="shared" si="1"/>
        <v>0</v>
      </c>
      <c r="J30" s="32"/>
      <c r="K30" s="32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19">
        <f t="shared" si="3"/>
        <v>0</v>
      </c>
      <c r="AF30" s="19">
        <f t="shared" si="4"/>
        <v>0</v>
      </c>
      <c r="AG30" s="19">
        <f t="shared" si="2"/>
        <v>0</v>
      </c>
      <c r="AH30" s="20" t="str">
        <f t="shared" ca="1" si="5"/>
        <v/>
      </c>
      <c r="AI30" s="1"/>
    </row>
    <row r="31" spans="1:35" ht="27" customHeight="1">
      <c r="A31" s="3"/>
      <c r="B31" s="9"/>
      <c r="C31" s="14"/>
      <c r="D31" s="15"/>
      <c r="E31" s="16"/>
      <c r="F31" s="16"/>
      <c r="G31" s="17"/>
      <c r="H31" s="18">
        <f t="shared" si="0"/>
        <v>0</v>
      </c>
      <c r="I31" s="18">
        <f t="shared" si="1"/>
        <v>0</v>
      </c>
      <c r="J31" s="32"/>
      <c r="K31" s="32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19">
        <f t="shared" si="3"/>
        <v>0</v>
      </c>
      <c r="AF31" s="19">
        <f t="shared" si="4"/>
        <v>0</v>
      </c>
      <c r="AG31" s="19">
        <f t="shared" si="2"/>
        <v>0</v>
      </c>
      <c r="AH31" s="20" t="str">
        <f t="shared" ca="1" si="5"/>
        <v/>
      </c>
      <c r="AI31" s="1"/>
    </row>
    <row r="32" spans="1:35" ht="27" customHeight="1">
      <c r="A32" s="3"/>
      <c r="B32" s="9"/>
      <c r="C32" s="14"/>
      <c r="D32" s="15"/>
      <c r="E32" s="16"/>
      <c r="F32" s="16"/>
      <c r="G32" s="17"/>
      <c r="H32" s="18">
        <f t="shared" si="0"/>
        <v>0</v>
      </c>
      <c r="I32" s="18">
        <f t="shared" si="1"/>
        <v>0</v>
      </c>
      <c r="J32" s="32"/>
      <c r="K32" s="32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19">
        <f t="shared" si="3"/>
        <v>0</v>
      </c>
      <c r="AF32" s="19">
        <f t="shared" si="4"/>
        <v>0</v>
      </c>
      <c r="AG32" s="19">
        <f t="shared" si="2"/>
        <v>0</v>
      </c>
      <c r="AH32" s="20" t="str">
        <f t="shared" ca="1" si="5"/>
        <v/>
      </c>
      <c r="AI32" s="1"/>
    </row>
    <row r="33" spans="1:35" ht="27" customHeight="1">
      <c r="A33" s="3"/>
      <c r="B33" s="9"/>
      <c r="C33" s="14"/>
      <c r="D33" s="15"/>
      <c r="E33" s="16"/>
      <c r="F33" s="16"/>
      <c r="G33" s="17"/>
      <c r="H33" s="18">
        <f t="shared" si="0"/>
        <v>0</v>
      </c>
      <c r="I33" s="18">
        <f t="shared" si="1"/>
        <v>0</v>
      </c>
      <c r="J33" s="32"/>
      <c r="K33" s="32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19">
        <f t="shared" si="3"/>
        <v>0</v>
      </c>
      <c r="AF33" s="19">
        <f t="shared" si="4"/>
        <v>0</v>
      </c>
      <c r="AG33" s="19">
        <f t="shared" si="2"/>
        <v>0</v>
      </c>
      <c r="AH33" s="20" t="str">
        <f t="shared" ca="1" si="5"/>
        <v/>
      </c>
      <c r="AI33" s="1"/>
    </row>
    <row r="34" spans="1:35" ht="27" customHeight="1">
      <c r="A34" s="3"/>
      <c r="B34" s="9"/>
      <c r="C34" s="14"/>
      <c r="D34" s="15"/>
      <c r="E34" s="16"/>
      <c r="F34" s="16"/>
      <c r="G34" s="17"/>
      <c r="H34" s="18">
        <f t="shared" si="0"/>
        <v>0</v>
      </c>
      <c r="I34" s="18">
        <f t="shared" si="1"/>
        <v>0</v>
      </c>
      <c r="J34" s="32"/>
      <c r="K34" s="32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19">
        <f t="shared" si="3"/>
        <v>0</v>
      </c>
      <c r="AF34" s="19">
        <f t="shared" si="4"/>
        <v>0</v>
      </c>
      <c r="AG34" s="19">
        <f t="shared" si="2"/>
        <v>0</v>
      </c>
      <c r="AH34" s="20" t="str">
        <f t="shared" ca="1" si="5"/>
        <v/>
      </c>
      <c r="AI34" s="1"/>
    </row>
    <row r="35" spans="1:35" ht="27" customHeight="1">
      <c r="A35" s="3"/>
      <c r="B35" s="9"/>
      <c r="C35" s="14"/>
      <c r="D35" s="15"/>
      <c r="E35" s="90"/>
      <c r="F35" s="16"/>
      <c r="G35" s="17"/>
      <c r="H35" s="18">
        <f t="shared" si="0"/>
        <v>0</v>
      </c>
      <c r="I35" s="18">
        <f t="shared" si="1"/>
        <v>0</v>
      </c>
      <c r="J35" s="32"/>
      <c r="K35" s="32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19">
        <f t="shared" si="3"/>
        <v>0</v>
      </c>
      <c r="AF35" s="19">
        <f t="shared" si="4"/>
        <v>0</v>
      </c>
      <c r="AG35" s="19">
        <f t="shared" si="2"/>
        <v>0</v>
      </c>
      <c r="AH35" s="20" t="str">
        <f t="shared" ca="1" si="5"/>
        <v/>
      </c>
      <c r="AI35" s="1"/>
    </row>
    <row r="36" spans="1:35" ht="27" customHeight="1">
      <c r="A36" s="3"/>
      <c r="B36" s="9"/>
      <c r="C36" s="14"/>
      <c r="D36" s="15"/>
      <c r="E36" s="16"/>
      <c r="F36" s="16"/>
      <c r="G36" s="17"/>
      <c r="H36" s="18">
        <f t="shared" si="0"/>
        <v>0</v>
      </c>
      <c r="I36" s="18">
        <f t="shared" si="1"/>
        <v>0</v>
      </c>
      <c r="J36" s="32"/>
      <c r="K36" s="32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19">
        <f t="shared" si="3"/>
        <v>0</v>
      </c>
      <c r="AF36" s="19">
        <f t="shared" si="4"/>
        <v>0</v>
      </c>
      <c r="AG36" s="19">
        <f t="shared" si="2"/>
        <v>0</v>
      </c>
      <c r="AH36" s="20" t="str">
        <f t="shared" ca="1" si="5"/>
        <v/>
      </c>
      <c r="AI36" s="1"/>
    </row>
    <row r="37" spans="1:35" ht="27" customHeight="1">
      <c r="A37" s="3"/>
      <c r="B37" s="9"/>
      <c r="C37" s="14"/>
      <c r="D37" s="15"/>
      <c r="E37" s="16"/>
      <c r="F37" s="16"/>
      <c r="G37" s="17"/>
      <c r="H37" s="18">
        <f t="shared" si="0"/>
        <v>0</v>
      </c>
      <c r="I37" s="18">
        <f t="shared" si="1"/>
        <v>0</v>
      </c>
      <c r="J37" s="32"/>
      <c r="K37" s="32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19">
        <f t="shared" si="3"/>
        <v>0</v>
      </c>
      <c r="AF37" s="19">
        <f t="shared" si="4"/>
        <v>0</v>
      </c>
      <c r="AG37" s="19">
        <f t="shared" si="2"/>
        <v>0</v>
      </c>
      <c r="AH37" s="20" t="str">
        <f t="shared" ca="1" si="5"/>
        <v/>
      </c>
      <c r="AI37" s="1"/>
    </row>
    <row r="38" spans="1:35" ht="27" customHeight="1">
      <c r="A38" s="3"/>
      <c r="B38" s="9"/>
      <c r="C38" s="14"/>
      <c r="D38" s="15"/>
      <c r="E38" s="16"/>
      <c r="F38" s="16"/>
      <c r="G38" s="17"/>
      <c r="H38" s="18">
        <f t="shared" si="0"/>
        <v>0</v>
      </c>
      <c r="I38" s="18">
        <f t="shared" si="1"/>
        <v>0</v>
      </c>
      <c r="J38" s="32"/>
      <c r="K38" s="32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19">
        <f t="shared" si="3"/>
        <v>0</v>
      </c>
      <c r="AF38" s="19">
        <f t="shared" si="4"/>
        <v>0</v>
      </c>
      <c r="AG38" s="19">
        <f t="shared" si="2"/>
        <v>0</v>
      </c>
      <c r="AH38" s="20" t="str">
        <f t="shared" ca="1" si="5"/>
        <v/>
      </c>
      <c r="AI38" s="1"/>
    </row>
    <row r="39" spans="1:35" ht="27" customHeight="1">
      <c r="A39" s="3"/>
      <c r="B39" s="9"/>
      <c r="C39" s="14"/>
      <c r="D39" s="15"/>
      <c r="E39" s="16"/>
      <c r="F39" s="16"/>
      <c r="G39" s="17"/>
      <c r="H39" s="18">
        <f t="shared" si="0"/>
        <v>0</v>
      </c>
      <c r="I39" s="18">
        <f t="shared" si="1"/>
        <v>0</v>
      </c>
      <c r="J39" s="32"/>
      <c r="K39" s="32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19">
        <f t="shared" si="3"/>
        <v>0</v>
      </c>
      <c r="AF39" s="19">
        <f t="shared" si="4"/>
        <v>0</v>
      </c>
      <c r="AG39" s="19">
        <f t="shared" si="2"/>
        <v>0</v>
      </c>
      <c r="AH39" s="20" t="str">
        <f t="shared" ca="1" si="5"/>
        <v/>
      </c>
      <c r="AI39" s="1"/>
    </row>
    <row r="40" spans="1:35" ht="27" customHeight="1">
      <c r="A40" s="3"/>
      <c r="B40" s="9"/>
      <c r="C40" s="14"/>
      <c r="D40" s="15"/>
      <c r="E40" s="16"/>
      <c r="F40" s="16"/>
      <c r="G40" s="17"/>
      <c r="H40" s="18">
        <f t="shared" si="0"/>
        <v>0</v>
      </c>
      <c r="I40" s="18">
        <f t="shared" si="1"/>
        <v>0</v>
      </c>
      <c r="J40" s="32"/>
      <c r="K40" s="32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19">
        <f t="shared" si="3"/>
        <v>0</v>
      </c>
      <c r="AF40" s="19">
        <f t="shared" si="4"/>
        <v>0</v>
      </c>
      <c r="AG40" s="19">
        <f t="shared" si="2"/>
        <v>0</v>
      </c>
      <c r="AH40" s="20" t="str">
        <f t="shared" ca="1" si="5"/>
        <v/>
      </c>
      <c r="AI40" s="1"/>
    </row>
    <row r="41" spans="1:35" ht="27" customHeight="1">
      <c r="A41" s="3"/>
      <c r="B41" s="9"/>
      <c r="C41" s="14"/>
      <c r="D41" s="15"/>
      <c r="E41" s="16"/>
      <c r="F41" s="16"/>
      <c r="G41" s="17"/>
      <c r="H41" s="18">
        <f t="shared" si="0"/>
        <v>0</v>
      </c>
      <c r="I41" s="18">
        <f t="shared" si="1"/>
        <v>0</v>
      </c>
      <c r="J41" s="32"/>
      <c r="K41" s="32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19">
        <f t="shared" si="3"/>
        <v>0</v>
      </c>
      <c r="AF41" s="19">
        <f t="shared" si="4"/>
        <v>0</v>
      </c>
      <c r="AG41" s="19">
        <f t="shared" si="2"/>
        <v>0</v>
      </c>
      <c r="AH41" s="20" t="str">
        <f t="shared" ca="1" si="5"/>
        <v/>
      </c>
      <c r="AI41" s="1"/>
    </row>
    <row r="42" spans="1:35" ht="27" customHeight="1">
      <c r="A42" s="3"/>
      <c r="B42" s="9"/>
      <c r="C42" s="14"/>
      <c r="D42" s="15"/>
      <c r="E42" s="16"/>
      <c r="F42" s="16"/>
      <c r="G42" s="17"/>
      <c r="H42" s="18">
        <f t="shared" si="0"/>
        <v>0</v>
      </c>
      <c r="I42" s="18">
        <f t="shared" si="1"/>
        <v>0</v>
      </c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19">
        <f t="shared" si="3"/>
        <v>0</v>
      </c>
      <c r="AF42" s="19">
        <f t="shared" si="4"/>
        <v>0</v>
      </c>
      <c r="AG42" s="19">
        <f t="shared" si="2"/>
        <v>0</v>
      </c>
      <c r="AH42" s="20" t="str">
        <f t="shared" ca="1" si="5"/>
        <v/>
      </c>
      <c r="AI42" s="1"/>
    </row>
    <row r="43" spans="1:35" ht="27" customHeight="1">
      <c r="A43" s="3"/>
      <c r="B43" s="9"/>
      <c r="C43" s="14"/>
      <c r="D43" s="15"/>
      <c r="E43" s="16"/>
      <c r="F43" s="16"/>
      <c r="G43" s="17"/>
      <c r="H43" s="18">
        <f t="shared" si="0"/>
        <v>0</v>
      </c>
      <c r="I43" s="18">
        <f t="shared" si="1"/>
        <v>0</v>
      </c>
      <c r="J43" s="32"/>
      <c r="K43" s="32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19">
        <f t="shared" si="3"/>
        <v>0</v>
      </c>
      <c r="AF43" s="19">
        <f t="shared" si="4"/>
        <v>0</v>
      </c>
      <c r="AG43" s="19">
        <f t="shared" si="2"/>
        <v>0</v>
      </c>
      <c r="AH43" s="20" t="str">
        <f t="shared" ca="1" si="5"/>
        <v/>
      </c>
      <c r="AI43" s="1"/>
    </row>
    <row r="44" spans="1:35" ht="27" customHeight="1">
      <c r="A44" s="3"/>
      <c r="B44" s="9"/>
      <c r="C44" s="14"/>
      <c r="D44" s="15"/>
      <c r="E44" s="16"/>
      <c r="F44" s="16"/>
      <c r="G44" s="17"/>
      <c r="H44" s="18">
        <f t="shared" si="0"/>
        <v>0</v>
      </c>
      <c r="I44" s="18">
        <f t="shared" si="1"/>
        <v>0</v>
      </c>
      <c r="J44" s="32"/>
      <c r="K44" s="32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19">
        <f t="shared" si="3"/>
        <v>0</v>
      </c>
      <c r="AF44" s="19">
        <f t="shared" si="4"/>
        <v>0</v>
      </c>
      <c r="AG44" s="19">
        <f t="shared" si="2"/>
        <v>0</v>
      </c>
      <c r="AH44" s="20" t="str">
        <f t="shared" ca="1" si="5"/>
        <v/>
      </c>
      <c r="AI44" s="1"/>
    </row>
    <row r="45" spans="1:35" ht="27" customHeight="1">
      <c r="A45" s="3"/>
      <c r="B45" s="9"/>
      <c r="C45" s="14"/>
      <c r="D45" s="15"/>
      <c r="E45" s="16"/>
      <c r="F45" s="16"/>
      <c r="G45" s="17"/>
      <c r="H45" s="18">
        <f t="shared" si="0"/>
        <v>0</v>
      </c>
      <c r="I45" s="18">
        <f t="shared" si="1"/>
        <v>0</v>
      </c>
      <c r="J45" s="32"/>
      <c r="K45" s="32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19">
        <f t="shared" si="3"/>
        <v>0</v>
      </c>
      <c r="AF45" s="19">
        <f t="shared" si="4"/>
        <v>0</v>
      </c>
      <c r="AG45" s="19">
        <f t="shared" si="2"/>
        <v>0</v>
      </c>
      <c r="AH45" s="20" t="str">
        <f t="shared" ca="1" si="5"/>
        <v/>
      </c>
      <c r="AI45" s="1"/>
    </row>
    <row r="46" spans="1:35" ht="27" customHeight="1">
      <c r="A46" s="11"/>
      <c r="B46" s="9"/>
      <c r="C46" s="14"/>
      <c r="D46" s="15"/>
      <c r="E46" s="16"/>
      <c r="F46" s="16"/>
      <c r="G46" s="17"/>
      <c r="H46" s="18">
        <f>D46+E46</f>
        <v>0</v>
      </c>
      <c r="I46" s="18">
        <f>D46+F46</f>
        <v>0</v>
      </c>
      <c r="J46" s="32"/>
      <c r="K46" s="32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19">
        <f t="shared" ref="AE46" si="6">MAX(J46:AD46)</f>
        <v>0</v>
      </c>
      <c r="AF46" s="19">
        <f t="shared" ref="AF46" si="7">MIN(J46:AD46)</f>
        <v>0</v>
      </c>
      <c r="AG46" s="19">
        <f t="shared" ref="AG46" si="8">AE46-AF46</f>
        <v>0</v>
      </c>
      <c r="AH46" s="20" t="str">
        <f t="shared" ca="1" si="5"/>
        <v/>
      </c>
    </row>
    <row r="47" spans="1:35" ht="27" customHeight="1">
      <c r="A47" s="3"/>
      <c r="B47" s="9"/>
      <c r="C47" s="14"/>
      <c r="D47" s="15"/>
      <c r="E47" s="16"/>
      <c r="F47" s="16"/>
      <c r="G47" s="91"/>
      <c r="H47" s="18">
        <f t="shared" si="0"/>
        <v>0</v>
      </c>
      <c r="I47" s="18">
        <f t="shared" si="1"/>
        <v>0</v>
      </c>
      <c r="J47" s="32"/>
      <c r="K47" s="32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19">
        <f t="shared" si="3"/>
        <v>0</v>
      </c>
      <c r="AF47" s="19">
        <f t="shared" si="4"/>
        <v>0</v>
      </c>
      <c r="AG47" s="19">
        <f t="shared" si="2"/>
        <v>0</v>
      </c>
      <c r="AH47" s="20" t="str">
        <f t="shared" ca="1" si="5"/>
        <v/>
      </c>
      <c r="AI47" s="1"/>
    </row>
    <row r="48" spans="1:35" ht="27" customHeight="1">
      <c r="A48" s="3"/>
      <c r="B48" s="9"/>
      <c r="C48" s="14"/>
      <c r="D48" s="15"/>
      <c r="E48" s="16"/>
      <c r="F48" s="16"/>
      <c r="G48" s="91"/>
      <c r="H48" s="18">
        <f t="shared" si="0"/>
        <v>0</v>
      </c>
      <c r="I48" s="18">
        <f t="shared" si="1"/>
        <v>0</v>
      </c>
      <c r="J48" s="32"/>
      <c r="K48" s="32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19">
        <f t="shared" si="3"/>
        <v>0</v>
      </c>
      <c r="AF48" s="19">
        <f t="shared" si="4"/>
        <v>0</v>
      </c>
      <c r="AG48" s="19">
        <f t="shared" si="2"/>
        <v>0</v>
      </c>
      <c r="AH48" s="20" t="str">
        <f t="shared" ca="1" si="5"/>
        <v/>
      </c>
      <c r="AI48" s="1"/>
    </row>
    <row r="49" spans="1:35" ht="27" customHeight="1">
      <c r="A49" s="3"/>
      <c r="B49" s="9"/>
      <c r="C49" s="14"/>
      <c r="D49" s="23"/>
      <c r="E49" s="16"/>
      <c r="F49" s="16"/>
      <c r="G49" s="91"/>
      <c r="H49" s="18">
        <f t="shared" si="0"/>
        <v>0</v>
      </c>
      <c r="I49" s="18">
        <f t="shared" si="1"/>
        <v>0</v>
      </c>
      <c r="J49" s="32"/>
      <c r="K49" s="32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19">
        <f t="shared" si="3"/>
        <v>0</v>
      </c>
      <c r="AF49" s="19">
        <f t="shared" si="4"/>
        <v>0</v>
      </c>
      <c r="AG49" s="19">
        <f t="shared" si="2"/>
        <v>0</v>
      </c>
      <c r="AH49" s="20" t="str">
        <f t="shared" ca="1" si="5"/>
        <v/>
      </c>
      <c r="AI49" s="1"/>
    </row>
    <row r="50" spans="1:35" ht="27" customHeight="1">
      <c r="A50" s="3"/>
      <c r="B50" s="9"/>
      <c r="C50" s="14"/>
      <c r="D50" s="15"/>
      <c r="E50" s="16"/>
      <c r="F50" s="16"/>
      <c r="G50" s="92"/>
      <c r="H50" s="24">
        <f t="shared" si="0"/>
        <v>0</v>
      </c>
      <c r="I50" s="24">
        <f t="shared" si="1"/>
        <v>0</v>
      </c>
      <c r="J50" s="32"/>
      <c r="K50" s="32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19">
        <f t="shared" si="3"/>
        <v>0</v>
      </c>
      <c r="AF50" s="19">
        <f t="shared" si="4"/>
        <v>0</v>
      </c>
      <c r="AG50" s="19">
        <f t="shared" si="2"/>
        <v>0</v>
      </c>
      <c r="AH50" s="20" t="str">
        <f t="shared" ca="1" si="5"/>
        <v/>
      </c>
    </row>
    <row r="51" spans="1:35" ht="52.5" customHeight="1">
      <c r="A51" s="25"/>
      <c r="B51" s="39" t="s">
        <v>21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26"/>
      <c r="AF51" s="41"/>
      <c r="AG51" s="41"/>
      <c r="AH51" s="20"/>
    </row>
    <row r="52" spans="1:35" ht="27" customHeight="1"/>
    <row r="53" spans="1:35" ht="27" customHeight="1">
      <c r="B53" s="27" t="s">
        <v>22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C53" s="37"/>
      <c r="AD53" s="37"/>
      <c r="AE53" s="37"/>
      <c r="AF53" s="37"/>
      <c r="AG53" s="37"/>
    </row>
  </sheetData>
  <mergeCells count="15">
    <mergeCell ref="A1:AG1"/>
    <mergeCell ref="A2:A3"/>
    <mergeCell ref="C2:E2"/>
    <mergeCell ref="F2:H2"/>
    <mergeCell ref="I2:K2"/>
    <mergeCell ref="M2:O2"/>
    <mergeCell ref="T2:U2"/>
    <mergeCell ref="W2:X2"/>
    <mergeCell ref="AB2:AC2"/>
    <mergeCell ref="AE2:AG2"/>
    <mergeCell ref="D53:AA53"/>
    <mergeCell ref="AC53:AG53"/>
    <mergeCell ref="D3:G3"/>
    <mergeCell ref="B51:AD51"/>
    <mergeCell ref="AF51:AG51"/>
  </mergeCells>
  <phoneticPr fontId="2" type="noConversion"/>
  <conditionalFormatting sqref="J4:AD4">
    <cfRule type="cellIs" dxfId="46" priority="47" operator="between">
      <formula>$D4+$E4</formula>
      <formula>$D4+$F4</formula>
    </cfRule>
  </conditionalFormatting>
  <conditionalFormatting sqref="J5:AD5">
    <cfRule type="cellIs" dxfId="45" priority="46" operator="between">
      <formula>$D5+$E5</formula>
      <formula>$D5+$F5</formula>
    </cfRule>
  </conditionalFormatting>
  <conditionalFormatting sqref="J6:AD6">
    <cfRule type="cellIs" dxfId="44" priority="45" operator="between">
      <formula>$D6+$E6</formula>
      <formula>$D6+$F6</formula>
    </cfRule>
  </conditionalFormatting>
  <conditionalFormatting sqref="J7:AD7">
    <cfRule type="cellIs" dxfId="43" priority="44" operator="between">
      <formula>$D7+$E7</formula>
      <formula>$D7+$F7</formula>
    </cfRule>
  </conditionalFormatting>
  <conditionalFormatting sqref="J8:AD8">
    <cfRule type="cellIs" dxfId="42" priority="43" operator="between">
      <formula>$D8+$E8</formula>
      <formula>$D8+$F8</formula>
    </cfRule>
  </conditionalFormatting>
  <conditionalFormatting sqref="J9:AD9">
    <cfRule type="cellIs" dxfId="41" priority="42" operator="between">
      <formula>$D9+$E9</formula>
      <formula>$D9+$F9</formula>
    </cfRule>
  </conditionalFormatting>
  <conditionalFormatting sqref="J10:AD10">
    <cfRule type="cellIs" dxfId="40" priority="41" operator="between">
      <formula>$D10+$E10</formula>
      <formula>$D10+$F10</formula>
    </cfRule>
  </conditionalFormatting>
  <conditionalFormatting sqref="J11:AD11">
    <cfRule type="cellIs" dxfId="39" priority="40" operator="between">
      <formula>$D11+$E11</formula>
      <formula>$D11+$F11</formula>
    </cfRule>
  </conditionalFormatting>
  <conditionalFormatting sqref="J12:AD12">
    <cfRule type="cellIs" dxfId="38" priority="39" operator="between">
      <formula>$D12+$E12</formula>
      <formula>$D12+$F12</formula>
    </cfRule>
  </conditionalFormatting>
  <conditionalFormatting sqref="J13:AD13">
    <cfRule type="cellIs" dxfId="37" priority="38" operator="between">
      <formula>$D13+$E13</formula>
      <formula>$D13+$F13</formula>
    </cfRule>
  </conditionalFormatting>
  <conditionalFormatting sqref="J14:AD14">
    <cfRule type="cellIs" dxfId="36" priority="37" operator="between">
      <formula>$D14+$E14</formula>
      <formula>$D14+$F14</formula>
    </cfRule>
  </conditionalFormatting>
  <conditionalFormatting sqref="J15:AD15">
    <cfRule type="cellIs" dxfId="35" priority="36" operator="between">
      <formula>$D15+$E15</formula>
      <formula>$D15+$F15</formula>
    </cfRule>
  </conditionalFormatting>
  <conditionalFormatting sqref="J16:AD16">
    <cfRule type="cellIs" dxfId="34" priority="35" operator="between">
      <formula>$D16+$E16</formula>
      <formula>$D16+$F16</formula>
    </cfRule>
  </conditionalFormatting>
  <conditionalFormatting sqref="J17:AD17">
    <cfRule type="cellIs" dxfId="33" priority="34" operator="between">
      <formula>$D17+$E17</formula>
      <formula>$D17+$F17</formula>
    </cfRule>
  </conditionalFormatting>
  <conditionalFormatting sqref="J18:AD18">
    <cfRule type="cellIs" dxfId="32" priority="33" operator="between">
      <formula>$D18+$E18</formula>
      <formula>$D18+$F18</formula>
    </cfRule>
  </conditionalFormatting>
  <conditionalFormatting sqref="J19:AD19">
    <cfRule type="cellIs" dxfId="31" priority="32" operator="between">
      <formula>$D19+$E19</formula>
      <formula>$D19+$F19</formula>
    </cfRule>
  </conditionalFormatting>
  <conditionalFormatting sqref="J20:AD20">
    <cfRule type="cellIs" dxfId="30" priority="31" operator="between">
      <formula>$D20+$E20</formula>
      <formula>$D20+$F20</formula>
    </cfRule>
  </conditionalFormatting>
  <conditionalFormatting sqref="J21:AD21">
    <cfRule type="cellIs" dxfId="29" priority="30" operator="between">
      <formula>$D21+$E21</formula>
      <formula>$D21+$F21</formula>
    </cfRule>
  </conditionalFormatting>
  <conditionalFormatting sqref="J22:AD22">
    <cfRule type="cellIs" dxfId="28" priority="29" operator="between">
      <formula>$D22+$E22</formula>
      <formula>$D22+$F22</formula>
    </cfRule>
  </conditionalFormatting>
  <conditionalFormatting sqref="J23:AD23">
    <cfRule type="cellIs" dxfId="27" priority="28" operator="between">
      <formula>$D23+$E23</formula>
      <formula>$D23+$F23</formula>
    </cfRule>
  </conditionalFormatting>
  <conditionalFormatting sqref="J24:AD24">
    <cfRule type="cellIs" dxfId="26" priority="27" operator="between">
      <formula>$D24+$E24</formula>
      <formula>$D24+$F24</formula>
    </cfRule>
  </conditionalFormatting>
  <conditionalFormatting sqref="J25:AD25">
    <cfRule type="cellIs" dxfId="25" priority="26" operator="between">
      <formula>$D25+$E25</formula>
      <formula>$D25+$F25</formula>
    </cfRule>
  </conditionalFormatting>
  <conditionalFormatting sqref="J26:AD26">
    <cfRule type="cellIs" dxfId="24" priority="25" operator="between">
      <formula>$D26+$E26</formula>
      <formula>$D26+$F26</formula>
    </cfRule>
  </conditionalFormatting>
  <conditionalFormatting sqref="J27:AD27">
    <cfRule type="cellIs" dxfId="23" priority="24" operator="between">
      <formula>$D27+$E27</formula>
      <formula>$D27+$F27</formula>
    </cfRule>
  </conditionalFormatting>
  <conditionalFormatting sqref="J28:AD28">
    <cfRule type="cellIs" dxfId="22" priority="23" operator="between">
      <formula>$D28+$E28</formula>
      <formula>$D28+$F28</formula>
    </cfRule>
  </conditionalFormatting>
  <conditionalFormatting sqref="J29:AD29">
    <cfRule type="cellIs" dxfId="21" priority="22" operator="between">
      <formula>$D29+$E29</formula>
      <formula>$D29+$F29</formula>
    </cfRule>
  </conditionalFormatting>
  <conditionalFormatting sqref="J30:AD30">
    <cfRule type="cellIs" dxfId="20" priority="21" operator="between">
      <formula>$D30+$E30</formula>
      <formula>$D30+$F30</formula>
    </cfRule>
  </conditionalFormatting>
  <conditionalFormatting sqref="J31:AD31">
    <cfRule type="cellIs" dxfId="19" priority="20" operator="between">
      <formula>$D31+$E31</formula>
      <formula>$D31+$F31</formula>
    </cfRule>
  </conditionalFormatting>
  <conditionalFormatting sqref="J32:AD32">
    <cfRule type="cellIs" dxfId="18" priority="19" operator="between">
      <formula>$D32+$E32</formula>
      <formula>$D32+$F32</formula>
    </cfRule>
  </conditionalFormatting>
  <conditionalFormatting sqref="J33:AD33">
    <cfRule type="cellIs" dxfId="17" priority="18" operator="between">
      <formula>$D33+$E33</formula>
      <formula>$D33+$F33</formula>
    </cfRule>
  </conditionalFormatting>
  <conditionalFormatting sqref="J34:AD34">
    <cfRule type="cellIs" dxfId="16" priority="17" operator="between">
      <formula>$D34+$E34</formula>
      <formula>$D34+$F34</formula>
    </cfRule>
  </conditionalFormatting>
  <conditionalFormatting sqref="J35:AD35">
    <cfRule type="cellIs" dxfId="15" priority="16" operator="between">
      <formula>$D35+$E35</formula>
      <formula>$D35+$F35</formula>
    </cfRule>
  </conditionalFormatting>
  <conditionalFormatting sqref="J36:AD36">
    <cfRule type="cellIs" dxfId="14" priority="15" operator="between">
      <formula>$D36+$E36</formula>
      <formula>$D36+$F36</formula>
    </cfRule>
  </conditionalFormatting>
  <conditionalFormatting sqref="J37:AD37">
    <cfRule type="cellIs" dxfId="13" priority="14" operator="between">
      <formula>$D37+$E37</formula>
      <formula>$D37+$F37</formula>
    </cfRule>
  </conditionalFormatting>
  <conditionalFormatting sqref="J38:AD38">
    <cfRule type="cellIs" dxfId="12" priority="13" operator="between">
      <formula>$D38+$E38</formula>
      <formula>$D38+$F38</formula>
    </cfRule>
  </conditionalFormatting>
  <conditionalFormatting sqref="J39:AD39">
    <cfRule type="cellIs" dxfId="11" priority="12" operator="between">
      <formula>$D39+$E39</formula>
      <formula>$D39+$F39</formula>
    </cfRule>
  </conditionalFormatting>
  <conditionalFormatting sqref="J40:AD40">
    <cfRule type="cellIs" dxfId="10" priority="11" operator="between">
      <formula>$D40+$E40</formula>
      <formula>$D40+$F40</formula>
    </cfRule>
  </conditionalFormatting>
  <conditionalFormatting sqref="J41:AD41">
    <cfRule type="cellIs" dxfId="9" priority="10" operator="between">
      <formula>$D41+$E41</formula>
      <formula>$D41+$F41</formula>
    </cfRule>
  </conditionalFormatting>
  <conditionalFormatting sqref="J42:AD42">
    <cfRule type="cellIs" dxfId="8" priority="9" operator="between">
      <formula>$D42+$E42</formula>
      <formula>$D42+$F42</formula>
    </cfRule>
  </conditionalFormatting>
  <conditionalFormatting sqref="J43:AD43">
    <cfRule type="cellIs" dxfId="7" priority="8" operator="between">
      <formula>$D43+$E43</formula>
      <formula>$D43+$F43</formula>
    </cfRule>
  </conditionalFormatting>
  <conditionalFormatting sqref="J44:AD44">
    <cfRule type="cellIs" dxfId="6" priority="7" operator="between">
      <formula>$D44+$E44</formula>
      <formula>$D44+$F44</formula>
    </cfRule>
  </conditionalFormatting>
  <conditionalFormatting sqref="J45:AD45">
    <cfRule type="cellIs" dxfId="5" priority="6" operator="between">
      <formula>$D45+$E45</formula>
      <formula>$D45+$F45</formula>
    </cfRule>
  </conditionalFormatting>
  <conditionalFormatting sqref="J46:AD46">
    <cfRule type="cellIs" dxfId="4" priority="5" operator="between">
      <formula>$D46+$E46</formula>
      <formula>$D46+$F46</formula>
    </cfRule>
  </conditionalFormatting>
  <conditionalFormatting sqref="J47:AD47">
    <cfRule type="cellIs" dxfId="3" priority="4" operator="between">
      <formula>$D47+$E47</formula>
      <formula>$D47+$F47</formula>
    </cfRule>
  </conditionalFormatting>
  <conditionalFormatting sqref="J48:AD48">
    <cfRule type="cellIs" dxfId="2" priority="3" operator="between">
      <formula>$D48+$E48</formula>
      <formula>$D48+$F48</formula>
    </cfRule>
  </conditionalFormatting>
  <conditionalFormatting sqref="J49:AD49">
    <cfRule type="cellIs" dxfId="1" priority="2" operator="between">
      <formula>$D49+$E49</formula>
      <formula>$D49+$F49</formula>
    </cfRule>
  </conditionalFormatting>
  <conditionalFormatting sqref="J50:AD50">
    <cfRule type="cellIs" dxfId="0" priority="1" operator="between">
      <formula>$D50+$E50</formula>
      <formula>$D50+$F50</formula>
    </cfRule>
  </conditionalFormatting>
  <printOptions horizontalCentered="1" verticalCentered="1"/>
  <pageMargins left="0" right="0" top="0.15748031496062992" bottom="0.15748031496062992" header="0.31496062992125984" footer="0.11811023622047245"/>
  <pageSetup paperSize="9" scale="38" orientation="landscape" r:id="rId1"/>
  <headerFooter>
    <oddFooter>&amp;L※本表為機密資訊，非經權責主管授權不得對外透露&amp;RP-Q005表02-02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P47"/>
  <sheetViews>
    <sheetView view="pageBreakPreview" zoomScale="50" zoomScaleNormal="85" zoomScaleSheetLayoutView="50" workbookViewId="0">
      <selection activeCell="B2" sqref="B2"/>
    </sheetView>
  </sheetViews>
  <sheetFormatPr defaultColWidth="9" defaultRowHeight="15.75"/>
  <cols>
    <col min="1" max="1" width="6.5" style="28" customWidth="1"/>
    <col min="2" max="41" width="10.625" style="28" customWidth="1"/>
    <col min="42" max="16384" width="9" style="28"/>
  </cols>
  <sheetData>
    <row r="1" spans="2:42" ht="55.5" customHeight="1">
      <c r="B1" s="61" t="e">
        <f>'MeasureReport-1.1'!I2:K2</f>
        <v>#VALUE!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3" t="s">
        <v>23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</row>
    <row r="2" spans="2:42" ht="28.5" customHeight="1" thickBot="1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2:42" ht="33" customHeight="1">
      <c r="B3" s="64"/>
      <c r="C3" s="65"/>
      <c r="D3" s="68"/>
      <c r="E3" s="69"/>
      <c r="F3" s="72"/>
      <c r="G3" s="65"/>
      <c r="H3" s="68"/>
      <c r="I3" s="69"/>
      <c r="J3" s="72"/>
      <c r="K3" s="65"/>
      <c r="L3" s="68"/>
      <c r="M3" s="69"/>
      <c r="N3" s="72"/>
      <c r="O3" s="65"/>
      <c r="P3" s="68"/>
      <c r="Q3" s="69"/>
      <c r="R3" s="72"/>
      <c r="S3" s="65"/>
      <c r="T3" s="68"/>
      <c r="U3" s="69"/>
      <c r="V3" s="72"/>
      <c r="W3" s="65"/>
      <c r="X3" s="68"/>
      <c r="Y3" s="69"/>
      <c r="Z3" s="72"/>
      <c r="AA3" s="65"/>
      <c r="AB3" s="68"/>
      <c r="AC3" s="69"/>
      <c r="AD3" s="72"/>
      <c r="AE3" s="65"/>
      <c r="AF3" s="68"/>
      <c r="AG3" s="69"/>
      <c r="AH3" s="72"/>
      <c r="AI3" s="65"/>
      <c r="AJ3" s="68"/>
      <c r="AK3" s="69"/>
      <c r="AL3" s="72"/>
      <c r="AM3" s="65"/>
      <c r="AN3" s="68"/>
      <c r="AO3" s="74"/>
      <c r="AP3" s="30"/>
    </row>
    <row r="4" spans="2:42" ht="33" customHeight="1">
      <c r="B4" s="66"/>
      <c r="C4" s="67"/>
      <c r="D4" s="70"/>
      <c r="E4" s="71"/>
      <c r="F4" s="73"/>
      <c r="G4" s="67"/>
      <c r="H4" s="70"/>
      <c r="I4" s="71"/>
      <c r="J4" s="73"/>
      <c r="K4" s="67"/>
      <c r="L4" s="70"/>
      <c r="M4" s="71"/>
      <c r="N4" s="73"/>
      <c r="O4" s="67"/>
      <c r="P4" s="70"/>
      <c r="Q4" s="71"/>
      <c r="R4" s="73"/>
      <c r="S4" s="67"/>
      <c r="T4" s="70"/>
      <c r="U4" s="71"/>
      <c r="V4" s="73"/>
      <c r="W4" s="67"/>
      <c r="X4" s="70"/>
      <c r="Y4" s="71"/>
      <c r="Z4" s="73"/>
      <c r="AA4" s="67"/>
      <c r="AB4" s="70"/>
      <c r="AC4" s="71"/>
      <c r="AD4" s="73"/>
      <c r="AE4" s="67"/>
      <c r="AF4" s="70"/>
      <c r="AG4" s="71"/>
      <c r="AH4" s="73"/>
      <c r="AI4" s="67"/>
      <c r="AJ4" s="70"/>
      <c r="AK4" s="71"/>
      <c r="AL4" s="73"/>
      <c r="AM4" s="67"/>
      <c r="AN4" s="70"/>
      <c r="AO4" s="75"/>
    </row>
    <row r="5" spans="2:42" ht="320.10000000000002" customHeight="1">
      <c r="B5" s="87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7"/>
      <c r="AN5" s="77"/>
      <c r="AO5" s="78"/>
    </row>
    <row r="6" spans="2:42" ht="33" customHeight="1">
      <c r="B6" s="79"/>
      <c r="C6" s="80"/>
      <c r="D6" s="81"/>
      <c r="E6" s="82"/>
      <c r="F6" s="83"/>
      <c r="G6" s="80"/>
      <c r="H6" s="81"/>
      <c r="I6" s="82"/>
      <c r="J6" s="83"/>
      <c r="K6" s="80"/>
      <c r="L6" s="81"/>
      <c r="M6" s="82"/>
      <c r="N6" s="83"/>
      <c r="O6" s="80"/>
      <c r="P6" s="81"/>
      <c r="Q6" s="82"/>
      <c r="R6" s="83"/>
      <c r="S6" s="80"/>
      <c r="T6" s="81"/>
      <c r="U6" s="82"/>
      <c r="V6" s="83"/>
      <c r="W6" s="80"/>
      <c r="X6" s="81"/>
      <c r="Y6" s="82"/>
      <c r="Z6" s="83"/>
      <c r="AA6" s="80"/>
      <c r="AB6" s="81"/>
      <c r="AC6" s="82"/>
      <c r="AD6" s="83"/>
      <c r="AE6" s="80"/>
      <c r="AF6" s="81"/>
      <c r="AG6" s="82"/>
      <c r="AH6" s="83"/>
      <c r="AI6" s="80"/>
      <c r="AJ6" s="81"/>
      <c r="AK6" s="82"/>
      <c r="AL6" s="83"/>
      <c r="AM6" s="80"/>
      <c r="AN6" s="81"/>
      <c r="AO6" s="84"/>
    </row>
    <row r="7" spans="2:42" ht="33" customHeight="1">
      <c r="B7" s="66"/>
      <c r="C7" s="67"/>
      <c r="D7" s="70"/>
      <c r="E7" s="71"/>
      <c r="F7" s="73"/>
      <c r="G7" s="67"/>
      <c r="H7" s="70"/>
      <c r="I7" s="71"/>
      <c r="J7" s="73"/>
      <c r="K7" s="67"/>
      <c r="L7" s="70"/>
      <c r="M7" s="71"/>
      <c r="N7" s="73"/>
      <c r="O7" s="67"/>
      <c r="P7" s="70"/>
      <c r="Q7" s="71"/>
      <c r="R7" s="73"/>
      <c r="S7" s="67"/>
      <c r="T7" s="70"/>
      <c r="U7" s="71"/>
      <c r="V7" s="73"/>
      <c r="W7" s="67"/>
      <c r="X7" s="70"/>
      <c r="Y7" s="71"/>
      <c r="Z7" s="73"/>
      <c r="AA7" s="67"/>
      <c r="AB7" s="70"/>
      <c r="AC7" s="71"/>
      <c r="AD7" s="73"/>
      <c r="AE7" s="67"/>
      <c r="AF7" s="70"/>
      <c r="AG7" s="71"/>
      <c r="AH7" s="73"/>
      <c r="AI7" s="67"/>
      <c r="AJ7" s="70"/>
      <c r="AK7" s="71"/>
      <c r="AL7" s="73"/>
      <c r="AM7" s="67"/>
      <c r="AN7" s="70"/>
      <c r="AO7" s="75"/>
    </row>
    <row r="8" spans="2:42" ht="320.10000000000002" customHeight="1" thickBot="1">
      <c r="B8" s="85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8"/>
      <c r="AN8" s="88"/>
      <c r="AO8" s="89"/>
    </row>
    <row r="9" spans="2:42" ht="30" customHeight="1" thickBo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5"/>
    </row>
    <row r="10" spans="2:42" ht="33" customHeight="1">
      <c r="B10" s="64"/>
      <c r="C10" s="65"/>
      <c r="D10" s="68"/>
      <c r="E10" s="69"/>
      <c r="F10" s="72"/>
      <c r="G10" s="65"/>
      <c r="H10" s="68"/>
      <c r="I10" s="69"/>
      <c r="J10" s="72"/>
      <c r="K10" s="65"/>
      <c r="L10" s="68"/>
      <c r="M10" s="69"/>
      <c r="N10" s="72"/>
      <c r="O10" s="65"/>
      <c r="P10" s="68"/>
      <c r="Q10" s="69"/>
      <c r="R10" s="72"/>
      <c r="S10" s="65"/>
      <c r="T10" s="68"/>
      <c r="U10" s="69"/>
      <c r="V10" s="72"/>
      <c r="W10" s="65"/>
      <c r="X10" s="68"/>
      <c r="Y10" s="69"/>
      <c r="Z10" s="72"/>
      <c r="AA10" s="65"/>
      <c r="AB10" s="68"/>
      <c r="AC10" s="69"/>
      <c r="AD10" s="72"/>
      <c r="AE10" s="65"/>
      <c r="AF10" s="68"/>
      <c r="AG10" s="69"/>
      <c r="AH10" s="72"/>
      <c r="AI10" s="65"/>
      <c r="AJ10" s="68"/>
      <c r="AK10" s="69"/>
      <c r="AL10" s="72"/>
      <c r="AM10" s="65"/>
      <c r="AN10" s="68"/>
      <c r="AO10" s="74"/>
    </row>
    <row r="11" spans="2:42" ht="33" customHeight="1">
      <c r="B11" s="66"/>
      <c r="C11" s="67"/>
      <c r="D11" s="70"/>
      <c r="E11" s="71"/>
      <c r="F11" s="73"/>
      <c r="G11" s="67"/>
      <c r="H11" s="70"/>
      <c r="I11" s="71"/>
      <c r="J11" s="73"/>
      <c r="K11" s="67"/>
      <c r="L11" s="70"/>
      <c r="M11" s="71"/>
      <c r="N11" s="73"/>
      <c r="O11" s="67"/>
      <c r="P11" s="70"/>
      <c r="Q11" s="71"/>
      <c r="R11" s="73"/>
      <c r="S11" s="67"/>
      <c r="T11" s="70"/>
      <c r="U11" s="71"/>
      <c r="V11" s="73"/>
      <c r="W11" s="67"/>
      <c r="X11" s="70"/>
      <c r="Y11" s="71"/>
      <c r="Z11" s="73"/>
      <c r="AA11" s="67"/>
      <c r="AB11" s="70"/>
      <c r="AC11" s="71"/>
      <c r="AD11" s="73"/>
      <c r="AE11" s="67"/>
      <c r="AF11" s="70"/>
      <c r="AG11" s="71"/>
      <c r="AH11" s="73"/>
      <c r="AI11" s="67"/>
      <c r="AJ11" s="70"/>
      <c r="AK11" s="71"/>
      <c r="AL11" s="73"/>
      <c r="AM11" s="67"/>
      <c r="AN11" s="70"/>
      <c r="AO11" s="75"/>
    </row>
    <row r="12" spans="2:42" ht="320.10000000000002" customHeight="1">
      <c r="B12" s="87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7"/>
      <c r="AN12" s="77"/>
      <c r="AO12" s="78"/>
    </row>
    <row r="13" spans="2:42" ht="33" customHeight="1">
      <c r="B13" s="79"/>
      <c r="C13" s="80"/>
      <c r="D13" s="81"/>
      <c r="E13" s="82"/>
      <c r="F13" s="83"/>
      <c r="G13" s="80"/>
      <c r="H13" s="81"/>
      <c r="I13" s="82"/>
      <c r="J13" s="83"/>
      <c r="K13" s="80"/>
      <c r="L13" s="81"/>
      <c r="M13" s="82"/>
      <c r="N13" s="83"/>
      <c r="O13" s="80"/>
      <c r="P13" s="81"/>
      <c r="Q13" s="82"/>
      <c r="R13" s="83"/>
      <c r="S13" s="80"/>
      <c r="T13" s="81"/>
      <c r="U13" s="82"/>
      <c r="V13" s="83"/>
      <c r="W13" s="80"/>
      <c r="X13" s="81"/>
      <c r="Y13" s="82"/>
      <c r="Z13" s="83"/>
      <c r="AA13" s="80"/>
      <c r="AB13" s="81"/>
      <c r="AC13" s="82"/>
      <c r="AD13" s="83"/>
      <c r="AE13" s="80"/>
      <c r="AF13" s="81"/>
      <c r="AG13" s="82"/>
      <c r="AH13" s="83"/>
      <c r="AI13" s="80"/>
      <c r="AJ13" s="81"/>
      <c r="AK13" s="82"/>
      <c r="AL13" s="83"/>
      <c r="AM13" s="80"/>
      <c r="AN13" s="81"/>
      <c r="AO13" s="84"/>
    </row>
    <row r="14" spans="2:42" ht="33" customHeight="1">
      <c r="B14" s="66"/>
      <c r="C14" s="67"/>
      <c r="D14" s="70"/>
      <c r="E14" s="71"/>
      <c r="F14" s="73"/>
      <c r="G14" s="67"/>
      <c r="H14" s="70"/>
      <c r="I14" s="71"/>
      <c r="J14" s="73"/>
      <c r="K14" s="67"/>
      <c r="L14" s="70"/>
      <c r="M14" s="71"/>
      <c r="N14" s="73"/>
      <c r="O14" s="67"/>
      <c r="P14" s="70"/>
      <c r="Q14" s="71"/>
      <c r="R14" s="73"/>
      <c r="S14" s="67"/>
      <c r="T14" s="70"/>
      <c r="U14" s="71"/>
      <c r="V14" s="73"/>
      <c r="W14" s="67"/>
      <c r="X14" s="70"/>
      <c r="Y14" s="71"/>
      <c r="Z14" s="73"/>
      <c r="AA14" s="67"/>
      <c r="AB14" s="70"/>
      <c r="AC14" s="71"/>
      <c r="AD14" s="73"/>
      <c r="AE14" s="67"/>
      <c r="AF14" s="70"/>
      <c r="AG14" s="71"/>
      <c r="AH14" s="73"/>
      <c r="AI14" s="67"/>
      <c r="AJ14" s="70"/>
      <c r="AK14" s="71"/>
      <c r="AL14" s="73"/>
      <c r="AM14" s="67"/>
      <c r="AN14" s="70"/>
      <c r="AO14" s="75"/>
    </row>
    <row r="15" spans="2:42" ht="320.10000000000002" customHeight="1" thickBot="1">
      <c r="B15" s="85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8"/>
      <c r="AN15" s="88"/>
      <c r="AO15" s="89"/>
    </row>
    <row r="16" spans="2:42" ht="15.75" customHeight="1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</row>
    <row r="17" spans="2:41" ht="15.75" customHeight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</row>
    <row r="18" spans="2:41" ht="15.75" customHeight="1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</row>
    <row r="19" spans="2:41" ht="15.75" customHeight="1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</row>
    <row r="20" spans="2:41" ht="15.75" customHeight="1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</row>
    <row r="21" spans="2:41" ht="15.75" customHeight="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</row>
    <row r="22" spans="2:41" ht="15.75" customHeight="1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</row>
    <row r="23" spans="2:41" ht="15.75" customHeight="1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</row>
    <row r="24" spans="2:41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</row>
    <row r="25" spans="2:41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</row>
    <row r="26" spans="2:41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</row>
    <row r="27" spans="2:41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</row>
    <row r="28" spans="2:41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 spans="2:41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 spans="2:41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 spans="2:41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 spans="2:41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</row>
    <row r="33" spans="2:41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</row>
    <row r="34" spans="2:41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</row>
    <row r="35" spans="2:41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 spans="2:41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 spans="2:4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</row>
    <row r="38" spans="2:4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</row>
    <row r="39" spans="2:41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 spans="2:41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</row>
    <row r="41" spans="2:41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2:4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</row>
    <row r="43" spans="2:4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</row>
    <row r="44" spans="2:4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 spans="2:4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</row>
    <row r="46" spans="2:4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 spans="2:4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</row>
  </sheetData>
  <mergeCells count="122">
    <mergeCell ref="Z15:AC15"/>
    <mergeCell ref="AD15:AG15"/>
    <mergeCell ref="AH15:AK15"/>
    <mergeCell ref="AL15:AO15"/>
    <mergeCell ref="B15:E15"/>
    <mergeCell ref="F15:I15"/>
    <mergeCell ref="J15:M15"/>
    <mergeCell ref="N15:Q15"/>
    <mergeCell ref="R15:U15"/>
    <mergeCell ref="V15:Y15"/>
    <mergeCell ref="AH13:AI14"/>
    <mergeCell ref="AJ13:AK14"/>
    <mergeCell ref="AL13:AM14"/>
    <mergeCell ref="AN13:AO14"/>
    <mergeCell ref="R13:S14"/>
    <mergeCell ref="T13:U14"/>
    <mergeCell ref="V13:W14"/>
    <mergeCell ref="X13:Y14"/>
    <mergeCell ref="Z13:AA14"/>
    <mergeCell ref="AB13:AC14"/>
    <mergeCell ref="F13:G14"/>
    <mergeCell ref="H13:I14"/>
    <mergeCell ref="J13:K14"/>
    <mergeCell ref="L13:M14"/>
    <mergeCell ref="N13:O14"/>
    <mergeCell ref="P13:Q14"/>
    <mergeCell ref="V12:Y12"/>
    <mergeCell ref="Z12:AC12"/>
    <mergeCell ref="AD12:AG12"/>
    <mergeCell ref="AD13:AE14"/>
    <mergeCell ref="AF13:AG14"/>
    <mergeCell ref="AH12:AK12"/>
    <mergeCell ref="AL12:AO12"/>
    <mergeCell ref="B13:C14"/>
    <mergeCell ref="D13:E14"/>
    <mergeCell ref="AF10:AG11"/>
    <mergeCell ref="AH10:AI11"/>
    <mergeCell ref="AJ10:AK11"/>
    <mergeCell ref="AL10:AM11"/>
    <mergeCell ref="AN10:AO11"/>
    <mergeCell ref="B12:E12"/>
    <mergeCell ref="F12:I12"/>
    <mergeCell ref="J12:M12"/>
    <mergeCell ref="N12:Q12"/>
    <mergeCell ref="R12:U12"/>
    <mergeCell ref="T10:U11"/>
    <mergeCell ref="V10:W11"/>
    <mergeCell ref="X10:Y11"/>
    <mergeCell ref="Z10:AA11"/>
    <mergeCell ref="AB10:AC11"/>
    <mergeCell ref="AD10:AE11"/>
    <mergeCell ref="H10:I11"/>
    <mergeCell ref="B10:C11"/>
    <mergeCell ref="D10:E11"/>
    <mergeCell ref="F10:G11"/>
    <mergeCell ref="J10:K11"/>
    <mergeCell ref="L10:M11"/>
    <mergeCell ref="N10:O11"/>
    <mergeCell ref="P10:Q11"/>
    <mergeCell ref="R10:S11"/>
    <mergeCell ref="Z8:AC8"/>
    <mergeCell ref="AD8:AG8"/>
    <mergeCell ref="AH8:AK8"/>
    <mergeCell ref="AL8:AO8"/>
    <mergeCell ref="B8:E8"/>
    <mergeCell ref="F8:I8"/>
    <mergeCell ref="J8:M8"/>
    <mergeCell ref="N8:Q8"/>
    <mergeCell ref="R8:U8"/>
    <mergeCell ref="V8:Y8"/>
    <mergeCell ref="V6:W7"/>
    <mergeCell ref="X6:Y7"/>
    <mergeCell ref="Z6:AA7"/>
    <mergeCell ref="P6:Q7"/>
    <mergeCell ref="R6:S7"/>
    <mergeCell ref="T6:U7"/>
    <mergeCell ref="J6:K7"/>
    <mergeCell ref="L6:M7"/>
    <mergeCell ref="N6:O7"/>
    <mergeCell ref="AD5:AG5"/>
    <mergeCell ref="AH5:AK5"/>
    <mergeCell ref="J5:M5"/>
    <mergeCell ref="N5:Q5"/>
    <mergeCell ref="R5:U5"/>
    <mergeCell ref="V5:Y5"/>
    <mergeCell ref="Z5:AC5"/>
    <mergeCell ref="AL5:AO5"/>
    <mergeCell ref="B6:C7"/>
    <mergeCell ref="D6:E7"/>
    <mergeCell ref="F6:G7"/>
    <mergeCell ref="H6:I7"/>
    <mergeCell ref="AN6:AO7"/>
    <mergeCell ref="B5:E5"/>
    <mergeCell ref="F5:I5"/>
    <mergeCell ref="AH6:AI7"/>
    <mergeCell ref="AJ6:AK7"/>
    <mergeCell ref="AL6:AM7"/>
    <mergeCell ref="AB6:AC7"/>
    <mergeCell ref="AD6:AE7"/>
    <mergeCell ref="AF6:AG7"/>
    <mergeCell ref="B1:S1"/>
    <mergeCell ref="T1:AO1"/>
    <mergeCell ref="B3:C4"/>
    <mergeCell ref="D3:E4"/>
    <mergeCell ref="F3:G4"/>
    <mergeCell ref="H3:I4"/>
    <mergeCell ref="J3:K4"/>
    <mergeCell ref="AJ3:AK4"/>
    <mergeCell ref="AL3:AM4"/>
    <mergeCell ref="AN3:AO4"/>
    <mergeCell ref="X3:Y4"/>
    <mergeCell ref="Z3:AA4"/>
    <mergeCell ref="AB3:AC4"/>
    <mergeCell ref="AD3:AE4"/>
    <mergeCell ref="AF3:AG4"/>
    <mergeCell ref="AH3:AI4"/>
    <mergeCell ref="L3:M4"/>
    <mergeCell ref="N3:O4"/>
    <mergeCell ref="P3:Q4"/>
    <mergeCell ref="R3:S4"/>
    <mergeCell ref="T3:U4"/>
    <mergeCell ref="V3:W4"/>
  </mergeCells>
  <phoneticPr fontId="2" type="noConversion"/>
  <pageMargins left="0.43307086614173229" right="0.23622047244094491" top="0.39370078740157483" bottom="0.39370078740157483" header="0.31496062992125984" footer="0.31496062992125984"/>
  <pageSetup paperSize="9" scal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MeasureReport-1.1</vt:lpstr>
      <vt:lpstr>SurfaceAccuracy-1</vt:lpstr>
      <vt:lpstr>'MeasureReport-1.1'!Print_Area</vt:lpstr>
      <vt:lpstr>'SurfaceAccuracy-1'!Print_Area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品保課-吳滕峮</dc:creator>
  <cp:lastModifiedBy>总经理室-吳滕峮</cp:lastModifiedBy>
  <cp:lastPrinted>2024-10-18T08:31:03Z</cp:lastPrinted>
  <dcterms:created xsi:type="dcterms:W3CDTF">2024-06-06T03:32:07Z</dcterms:created>
  <dcterms:modified xsi:type="dcterms:W3CDTF">2024-12-23T01:11:09Z</dcterms:modified>
</cp:coreProperties>
</file>